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ich\Documents\SolucionesEnergeticasParaWSN\"/>
    </mc:Choice>
  </mc:AlternateContent>
  <xr:revisionPtr revIDLastSave="0" documentId="13_ncr:1_{FD53621D-E13A-4CC6-B5BA-216BF938F714}" xr6:coauthVersionLast="47" xr6:coauthVersionMax="47" xr10:uidLastSave="{00000000-0000-0000-0000-000000000000}"/>
  <bookViews>
    <workbookView xWindow="-108" yWindow="-108" windowWidth="23256" windowHeight="12456" xr2:uid="{FF7E538C-BC1E-4233-9CFA-651CC43E1462}"/>
  </bookViews>
  <sheets>
    <sheet name="Hoja1" sheetId="1" r:id="rId1"/>
  </sheets>
  <definedNames>
    <definedName name="_xlchart.v1.0" hidden="1">Hoja1!$A$13:$C$13</definedName>
    <definedName name="_xlchart.v1.1" hidden="1">Hoja1!$A$22:$C$22</definedName>
    <definedName name="_xlchart.v1.10" hidden="1">(Hoja1!$H$4:$H$11,Hoja1!$H$13:$H$20,Hoja1!$H$22:$H$29)</definedName>
    <definedName name="_xlchart.v1.11" hidden="1">Hoja1!$H$3</definedName>
    <definedName name="_xlchart.v1.2" hidden="1">Hoja1!$B$4:$D$4</definedName>
    <definedName name="_xlchart.v1.3" hidden="1">Hoja1!$D$13:$G$13</definedName>
    <definedName name="_xlchart.v1.4" hidden="1">Hoja1!$D$22:$G$22</definedName>
    <definedName name="_xlchart.v1.5" hidden="1">Hoja1!$E$4:$G$4</definedName>
    <definedName name="_xlchart.v1.6" hidden="1">(Hoja1!$C$4:$C$11,Hoja1!$C$13:$C$20,Hoja1!$C$22:$C$29)</definedName>
    <definedName name="_xlchart.v1.7" hidden="1">(Hoja1!$H$4:$H$11,Hoja1!$H$13:$H$20,Hoja1!$H$22:$H$29)</definedName>
    <definedName name="_xlchart.v1.8" hidden="1">Hoja1!$H$3</definedName>
    <definedName name="_xlchart.v1.9" hidden="1">(Hoja1!$C$4:$C$11,Hoja1!$C$13:$C$20,Hoja1!$C$22:$C$29)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3" i="1"/>
  <c r="L14" i="1"/>
  <c r="L15" i="1"/>
  <c r="L16" i="1"/>
  <c r="L17" i="1"/>
  <c r="L18" i="1"/>
  <c r="L19" i="1"/>
  <c r="L20" i="1"/>
  <c r="L22" i="1"/>
  <c r="L23" i="1"/>
  <c r="L24" i="1"/>
  <c r="L25" i="1"/>
  <c r="L26" i="1"/>
  <c r="L27" i="1"/>
  <c r="L28" i="1"/>
  <c r="L29" i="1"/>
  <c r="L4" i="1"/>
  <c r="K5" i="1"/>
  <c r="K6" i="1"/>
  <c r="K7" i="1"/>
  <c r="K8" i="1"/>
  <c r="K9" i="1"/>
  <c r="K10" i="1"/>
  <c r="K11" i="1"/>
  <c r="K13" i="1"/>
  <c r="K14" i="1"/>
  <c r="K15" i="1"/>
  <c r="K16" i="1"/>
  <c r="K17" i="1"/>
  <c r="K18" i="1"/>
  <c r="K19" i="1"/>
  <c r="K20" i="1"/>
  <c r="K22" i="1"/>
  <c r="K23" i="1"/>
  <c r="K24" i="1"/>
  <c r="K25" i="1"/>
  <c r="K26" i="1"/>
  <c r="K27" i="1"/>
  <c r="K28" i="1"/>
  <c r="K29" i="1"/>
  <c r="K4" i="1"/>
  <c r="J5" i="1"/>
  <c r="J6" i="1"/>
  <c r="J7" i="1"/>
  <c r="J8" i="1"/>
  <c r="J9" i="1"/>
  <c r="J10" i="1"/>
  <c r="J11" i="1"/>
  <c r="J13" i="1"/>
  <c r="J14" i="1"/>
  <c r="J15" i="1"/>
  <c r="J16" i="1"/>
  <c r="J17" i="1"/>
  <c r="J18" i="1"/>
  <c r="J19" i="1"/>
  <c r="J20" i="1"/>
  <c r="J22" i="1"/>
  <c r="J23" i="1"/>
  <c r="J24" i="1"/>
  <c r="J25" i="1"/>
  <c r="J26" i="1"/>
  <c r="J27" i="1"/>
  <c r="J28" i="1"/>
  <c r="J29" i="1"/>
  <c r="J4" i="1"/>
  <c r="G10" i="1" l="1"/>
  <c r="H10" i="1" s="1"/>
  <c r="I10" i="1" s="1"/>
  <c r="G28" i="1"/>
  <c r="H28" i="1" s="1"/>
  <c r="I28" i="1" s="1"/>
  <c r="G29" i="1"/>
  <c r="H29" i="1" s="1"/>
  <c r="I29" i="1" s="1"/>
  <c r="G5" i="1"/>
  <c r="H5" i="1" s="1"/>
  <c r="I5" i="1" s="1"/>
  <c r="G6" i="1"/>
  <c r="H6" i="1" s="1"/>
  <c r="I6" i="1" s="1"/>
  <c r="G7" i="1"/>
  <c r="H7" i="1" s="1"/>
  <c r="I7" i="1" s="1"/>
  <c r="G8" i="1"/>
  <c r="H8" i="1" s="1"/>
  <c r="I8" i="1" s="1"/>
  <c r="G9" i="1"/>
  <c r="H9" i="1" s="1"/>
  <c r="I9" i="1" s="1"/>
  <c r="G11" i="1"/>
  <c r="H11" i="1" s="1"/>
  <c r="I11" i="1" s="1"/>
  <c r="G13" i="1"/>
  <c r="H13" i="1" s="1"/>
  <c r="I13" i="1" s="1"/>
  <c r="G14" i="1"/>
  <c r="H14" i="1" s="1"/>
  <c r="I14" i="1" s="1"/>
  <c r="G15" i="1"/>
  <c r="H15" i="1" s="1"/>
  <c r="I15" i="1" s="1"/>
  <c r="G16" i="1"/>
  <c r="H16" i="1" s="1"/>
  <c r="I16" i="1" s="1"/>
  <c r="G17" i="1"/>
  <c r="H17" i="1" s="1"/>
  <c r="I17" i="1" s="1"/>
  <c r="G18" i="1"/>
  <c r="H18" i="1" s="1"/>
  <c r="I18" i="1" s="1"/>
  <c r="G19" i="1"/>
  <c r="H19" i="1" s="1"/>
  <c r="I19" i="1" s="1"/>
  <c r="G20" i="1"/>
  <c r="H20" i="1" s="1"/>
  <c r="I20" i="1" s="1"/>
  <c r="G22" i="1"/>
  <c r="H22" i="1" s="1"/>
  <c r="I22" i="1" s="1"/>
  <c r="G23" i="1"/>
  <c r="H23" i="1" s="1"/>
  <c r="I23" i="1" s="1"/>
  <c r="G24" i="1"/>
  <c r="H24" i="1" s="1"/>
  <c r="I24" i="1" s="1"/>
  <c r="G25" i="1"/>
  <c r="H25" i="1" s="1"/>
  <c r="I25" i="1" s="1"/>
  <c r="G26" i="1"/>
  <c r="H26" i="1" s="1"/>
  <c r="I26" i="1" s="1"/>
  <c r="G27" i="1"/>
  <c r="H27" i="1" s="1"/>
  <c r="I27" i="1" s="1"/>
  <c r="G4" i="1"/>
  <c r="H4" i="1" s="1"/>
  <c r="I4" i="1" s="1"/>
</calcChain>
</file>

<file path=xl/sharedStrings.xml><?xml version="1.0" encoding="utf-8"?>
<sst xmlns="http://schemas.openxmlformats.org/spreadsheetml/2006/main" count="91" uniqueCount="26">
  <si>
    <t>SOFTWARE</t>
  </si>
  <si>
    <t>RADIO</t>
  </si>
  <si>
    <t>TIEMPO</t>
  </si>
  <si>
    <t>PAQUETES ENVIADOS</t>
  </si>
  <si>
    <t>PAQUETES PERDIDOS</t>
  </si>
  <si>
    <t>PORCENTAJE DE PÉRDIDA</t>
  </si>
  <si>
    <t>NRF24L01</t>
  </si>
  <si>
    <t>BASICO</t>
  </si>
  <si>
    <t>ADAPTIVE</t>
  </si>
  <si>
    <t>ENERGY</t>
  </si>
  <si>
    <t>ADAPTIVE + CODEC</t>
  </si>
  <si>
    <t>CODEC</t>
  </si>
  <si>
    <t>CODEC + ENERGY</t>
  </si>
  <si>
    <t>ENERGY + ADAPTIVE</t>
  </si>
  <si>
    <t>CODEC + ENERGY + ADAPTIVE</t>
  </si>
  <si>
    <t>10 min</t>
  </si>
  <si>
    <t>PAQUETES RECIBIDOS</t>
  </si>
  <si>
    <t>XBEE</t>
  </si>
  <si>
    <t>ID</t>
  </si>
  <si>
    <t>LoRa</t>
  </si>
  <si>
    <t>TASA DE ÉXITO</t>
  </si>
  <si>
    <t>PAQUETES POR SEGUNDO</t>
  </si>
  <si>
    <t>PAQUETES POR MINUTO</t>
  </si>
  <si>
    <t>EFICIENCIA DE ENVIO</t>
  </si>
  <si>
    <t>PAQUETES PÉRDIDOS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</si>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</sst>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2" fillId="5" borderId="1" xfId="0" applyFont="1" applyFill="1" applyBorder="1" applyAlignment="1">
      <alignment horizontal="center"/>
    </xf>
    <xf numFmtId="2" fontId="0" fillId="2" borderId="1" xfId="0" applyNumberFormat="1" applyFill="1" applyBorder="1"/>
    <xf numFmtId="2" fontId="0" fillId="3" borderId="1" xfId="0" applyNumberFormat="1" applyFill="1" applyBorder="1"/>
    <xf numFmtId="2" fontId="0" fillId="4" borderId="1" xfId="0" applyNumberFormat="1" applyFill="1" applyBorder="1"/>
    <xf numFmtId="2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/>
    <xf numFmtId="2" fontId="0" fillId="6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Porcentaje de pérdida NRF24L01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Hoja1!$B$4:$B$11</c:f>
              <c:strCache>
                <c:ptCount val="8"/>
                <c:pt idx="0">
                  <c:v>BASICO</c:v>
                </c:pt>
                <c:pt idx="1">
                  <c:v>ADAPTIVE</c:v>
                </c:pt>
                <c:pt idx="2">
                  <c:v>ENERGY</c:v>
                </c:pt>
                <c:pt idx="3">
                  <c:v>ENERGY + ADAPTIVE</c:v>
                </c:pt>
                <c:pt idx="4">
                  <c:v>ADAPTIVE + CODEC</c:v>
                </c:pt>
                <c:pt idx="5">
                  <c:v>CODEC</c:v>
                </c:pt>
                <c:pt idx="6">
                  <c:v>CODEC + ENERGY</c:v>
                </c:pt>
                <c:pt idx="7">
                  <c:v>CODEC + ENERGY + ADAPTIVE</c:v>
                </c:pt>
              </c:strCache>
            </c:strRef>
          </c:cat>
          <c:val>
            <c:numRef>
              <c:f>Hoja1!$H$4:$H$11</c:f>
              <c:numCache>
                <c:formatCode>0.00</c:formatCode>
                <c:ptCount val="8"/>
                <c:pt idx="0">
                  <c:v>0</c:v>
                </c:pt>
                <c:pt idx="1">
                  <c:v>1.3333333333333335</c:v>
                </c:pt>
                <c:pt idx="2">
                  <c:v>0.46511627906976744</c:v>
                </c:pt>
                <c:pt idx="3">
                  <c:v>0</c:v>
                </c:pt>
                <c:pt idx="4">
                  <c:v>0.57471264367816088</c:v>
                </c:pt>
                <c:pt idx="5">
                  <c:v>0</c:v>
                </c:pt>
                <c:pt idx="6">
                  <c:v>1.5151515151515151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1-45D5-BB1D-2EC164617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75875935"/>
        <c:axId val="475877855"/>
      </c:barChart>
      <c:catAx>
        <c:axId val="47587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5877855"/>
        <c:crosses val="autoZero"/>
        <c:auto val="1"/>
        <c:lblAlgn val="ctr"/>
        <c:lblOffset val="100"/>
        <c:noMultiLvlLbl val="0"/>
      </c:catAx>
      <c:valAx>
        <c:axId val="47587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587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Porcentaje de pérdida XBEE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Hoja1!$B$13:$B$20</c:f>
              <c:strCache>
                <c:ptCount val="8"/>
                <c:pt idx="0">
                  <c:v>BASICO</c:v>
                </c:pt>
                <c:pt idx="1">
                  <c:v>ADAPTIVE</c:v>
                </c:pt>
                <c:pt idx="2">
                  <c:v>ENERGY</c:v>
                </c:pt>
                <c:pt idx="3">
                  <c:v>ENERGY + ADAPTIVE</c:v>
                </c:pt>
                <c:pt idx="4">
                  <c:v>ADAPTIVE + CODEC</c:v>
                </c:pt>
                <c:pt idx="5">
                  <c:v>CODEC</c:v>
                </c:pt>
                <c:pt idx="6">
                  <c:v>CODEC + ENERGY</c:v>
                </c:pt>
                <c:pt idx="7">
                  <c:v>CODEC + ENERGY + ADAPTIVE</c:v>
                </c:pt>
              </c:strCache>
            </c:strRef>
          </c:cat>
          <c:val>
            <c:numRef>
              <c:f>Hoja1!$H$13:$H$20</c:f>
              <c:numCache>
                <c:formatCode>0.00</c:formatCode>
                <c:ptCount val="8"/>
                <c:pt idx="0">
                  <c:v>16.176470588235293</c:v>
                </c:pt>
                <c:pt idx="1">
                  <c:v>3.3898305084745761</c:v>
                </c:pt>
                <c:pt idx="2">
                  <c:v>2.4390243902439024</c:v>
                </c:pt>
                <c:pt idx="3">
                  <c:v>7.0000000000000009</c:v>
                </c:pt>
                <c:pt idx="4">
                  <c:v>0.94339622641509435</c:v>
                </c:pt>
                <c:pt idx="5">
                  <c:v>2.6402640264026402</c:v>
                </c:pt>
                <c:pt idx="6">
                  <c:v>3.8461538461538463</c:v>
                </c:pt>
                <c:pt idx="7">
                  <c:v>3.8461538461538463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2-4EE9-BE8C-48D2BC6A8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1559567"/>
        <c:axId val="451556207"/>
      </c:barChart>
      <c:catAx>
        <c:axId val="45155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1556207"/>
        <c:crosses val="autoZero"/>
        <c:auto val="1"/>
        <c:lblAlgn val="ctr"/>
        <c:lblOffset val="100"/>
        <c:noMultiLvlLbl val="0"/>
      </c:catAx>
      <c:valAx>
        <c:axId val="45155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1559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Porcentaje</a:t>
            </a:r>
            <a:r>
              <a:rPr lang="es-MX" baseline="0"/>
              <a:t> de pérdida LoRa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Hoja1!$B$22:$B$29</c:f>
              <c:strCache>
                <c:ptCount val="8"/>
                <c:pt idx="0">
                  <c:v>BASICO</c:v>
                </c:pt>
                <c:pt idx="1">
                  <c:v>ADAPTIVE</c:v>
                </c:pt>
                <c:pt idx="2">
                  <c:v>ENERGY</c:v>
                </c:pt>
                <c:pt idx="3">
                  <c:v>ENERGY + ADAPTIVE</c:v>
                </c:pt>
                <c:pt idx="4">
                  <c:v>ADAPTIVE + CODEC</c:v>
                </c:pt>
                <c:pt idx="5">
                  <c:v>CODEC</c:v>
                </c:pt>
                <c:pt idx="6">
                  <c:v>CODEC + ENERGY</c:v>
                </c:pt>
                <c:pt idx="7">
                  <c:v>CODEC + ENERGY + ADAPTIVE</c:v>
                </c:pt>
              </c:strCache>
            </c:strRef>
          </c:cat>
          <c:val>
            <c:numRef>
              <c:f>Hoja1!$H$22:$H$29</c:f>
              <c:numCache>
                <c:formatCode>0.00</c:formatCode>
                <c:ptCount val="8"/>
                <c:pt idx="0">
                  <c:v>5</c:v>
                </c:pt>
                <c:pt idx="1">
                  <c:v>0</c:v>
                </c:pt>
                <c:pt idx="2">
                  <c:v>0.5</c:v>
                </c:pt>
                <c:pt idx="3">
                  <c:v>2.6315789473684208</c:v>
                </c:pt>
                <c:pt idx="4">
                  <c:v>1.5789473684210527</c:v>
                </c:pt>
                <c:pt idx="5">
                  <c:v>1.0695187165775399</c:v>
                </c:pt>
                <c:pt idx="6">
                  <c:v>1.0050251256281406</c:v>
                </c:pt>
                <c:pt idx="7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1C-49DA-AA78-5DCB5AFCC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93497231"/>
        <c:axId val="593498671"/>
      </c:barChart>
      <c:catAx>
        <c:axId val="59349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93498671"/>
        <c:crosses val="autoZero"/>
        <c:auto val="1"/>
        <c:lblAlgn val="ctr"/>
        <c:lblOffset val="100"/>
        <c:noMultiLvlLbl val="0"/>
      </c:catAx>
      <c:valAx>
        <c:axId val="59349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9349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Integridad</a:t>
            </a:r>
            <a:r>
              <a:rPr lang="es-MX" baseline="0"/>
              <a:t> de envío NRF24L01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Hoja1!$F$3</c:f>
              <c:strCache>
                <c:ptCount val="1"/>
                <c:pt idx="0">
                  <c:v>PAQUETES RECIBIDOS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Hoja1!$B$4:$B$11</c:f>
              <c:strCache>
                <c:ptCount val="8"/>
                <c:pt idx="0">
                  <c:v>BASICO</c:v>
                </c:pt>
                <c:pt idx="1">
                  <c:v>ADAPTIVE</c:v>
                </c:pt>
                <c:pt idx="2">
                  <c:v>ENERGY</c:v>
                </c:pt>
                <c:pt idx="3">
                  <c:v>ENERGY + ADAPTIVE</c:v>
                </c:pt>
                <c:pt idx="4">
                  <c:v>ADAPTIVE + CODEC</c:v>
                </c:pt>
                <c:pt idx="5">
                  <c:v>CODEC</c:v>
                </c:pt>
                <c:pt idx="6">
                  <c:v>CODEC + ENERGY</c:v>
                </c:pt>
                <c:pt idx="7">
                  <c:v>CODEC + ENERGY + ADAPTIVE</c:v>
                </c:pt>
              </c:strCache>
            </c:strRef>
          </c:cat>
          <c:val>
            <c:numRef>
              <c:f>Hoja1!$F$4:$F$11</c:f>
              <c:numCache>
                <c:formatCode>General</c:formatCode>
                <c:ptCount val="8"/>
                <c:pt idx="0">
                  <c:v>199</c:v>
                </c:pt>
                <c:pt idx="1">
                  <c:v>148</c:v>
                </c:pt>
                <c:pt idx="2">
                  <c:v>214</c:v>
                </c:pt>
                <c:pt idx="3">
                  <c:v>138</c:v>
                </c:pt>
                <c:pt idx="4">
                  <c:v>346</c:v>
                </c:pt>
                <c:pt idx="5">
                  <c:v>198</c:v>
                </c:pt>
                <c:pt idx="6">
                  <c:v>130</c:v>
                </c:pt>
                <c:pt idx="7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5-4267-B464-A7F2DEFD502D}"/>
            </c:ext>
          </c:extLst>
        </c:ser>
        <c:ser>
          <c:idx val="1"/>
          <c:order val="1"/>
          <c:tx>
            <c:strRef>
              <c:f>Hoja1!$G$3</c:f>
              <c:strCache>
                <c:ptCount val="1"/>
                <c:pt idx="0">
                  <c:v>PAQUETES PERDIDOS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Hoja1!$B$4:$B$11</c:f>
              <c:strCache>
                <c:ptCount val="8"/>
                <c:pt idx="0">
                  <c:v>BASICO</c:v>
                </c:pt>
                <c:pt idx="1">
                  <c:v>ADAPTIVE</c:v>
                </c:pt>
                <c:pt idx="2">
                  <c:v>ENERGY</c:v>
                </c:pt>
                <c:pt idx="3">
                  <c:v>ENERGY + ADAPTIVE</c:v>
                </c:pt>
                <c:pt idx="4">
                  <c:v>ADAPTIVE + CODEC</c:v>
                </c:pt>
                <c:pt idx="5">
                  <c:v>CODEC</c:v>
                </c:pt>
                <c:pt idx="6">
                  <c:v>CODEC + ENERGY</c:v>
                </c:pt>
                <c:pt idx="7">
                  <c:v>CODEC + ENERGY + ADAPTIVE</c:v>
                </c:pt>
              </c:strCache>
            </c:strRef>
          </c:cat>
          <c:val>
            <c:numRef>
              <c:f>Hoja1!$G$4:$G$11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25-4267-B464-A7F2DEFD5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3679375"/>
        <c:axId val="483680815"/>
      </c:barChart>
      <c:catAx>
        <c:axId val="48367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83680815"/>
        <c:crosses val="autoZero"/>
        <c:auto val="1"/>
        <c:lblAlgn val="ctr"/>
        <c:lblOffset val="100"/>
        <c:noMultiLvlLbl val="0"/>
      </c:catAx>
      <c:valAx>
        <c:axId val="48368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8367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Integridad</a:t>
            </a:r>
            <a:r>
              <a:rPr lang="es-MX" baseline="0"/>
              <a:t> de envío XBEE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Hoja1!$F$12</c:f>
              <c:strCache>
                <c:ptCount val="1"/>
                <c:pt idx="0">
                  <c:v>PAQUETES RECIBIDOS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Hoja1!$B$13:$B$20</c:f>
              <c:strCache>
                <c:ptCount val="8"/>
                <c:pt idx="0">
                  <c:v>BASICO</c:v>
                </c:pt>
                <c:pt idx="1">
                  <c:v>ADAPTIVE</c:v>
                </c:pt>
                <c:pt idx="2">
                  <c:v>ENERGY</c:v>
                </c:pt>
                <c:pt idx="3">
                  <c:v>ENERGY + ADAPTIVE</c:v>
                </c:pt>
                <c:pt idx="4">
                  <c:v>ADAPTIVE + CODEC</c:v>
                </c:pt>
                <c:pt idx="5">
                  <c:v>CODEC</c:v>
                </c:pt>
                <c:pt idx="6">
                  <c:v>CODEC + ENERGY</c:v>
                </c:pt>
                <c:pt idx="7">
                  <c:v>CODEC + ENERGY + ADAPTIVE</c:v>
                </c:pt>
              </c:strCache>
            </c:strRef>
          </c:cat>
          <c:val>
            <c:numRef>
              <c:f>Hoja1!$F$13:$F$20</c:f>
              <c:numCache>
                <c:formatCode>General</c:formatCode>
                <c:ptCount val="8"/>
                <c:pt idx="0">
                  <c:v>171</c:v>
                </c:pt>
                <c:pt idx="1">
                  <c:v>285</c:v>
                </c:pt>
                <c:pt idx="2">
                  <c:v>200</c:v>
                </c:pt>
                <c:pt idx="3">
                  <c:v>93</c:v>
                </c:pt>
                <c:pt idx="4">
                  <c:v>210</c:v>
                </c:pt>
                <c:pt idx="5">
                  <c:v>295</c:v>
                </c:pt>
                <c:pt idx="6">
                  <c:v>200</c:v>
                </c:pt>
                <c:pt idx="7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6-4392-9193-A8EF4E487159}"/>
            </c:ext>
          </c:extLst>
        </c:ser>
        <c:ser>
          <c:idx val="1"/>
          <c:order val="1"/>
          <c:tx>
            <c:strRef>
              <c:f>Hoja1!$G$12</c:f>
              <c:strCache>
                <c:ptCount val="1"/>
                <c:pt idx="0">
                  <c:v>PAQUETES PÉRDIDOS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Hoja1!$B$13:$B$20</c:f>
              <c:strCache>
                <c:ptCount val="8"/>
                <c:pt idx="0">
                  <c:v>BASICO</c:v>
                </c:pt>
                <c:pt idx="1">
                  <c:v>ADAPTIVE</c:v>
                </c:pt>
                <c:pt idx="2">
                  <c:v>ENERGY</c:v>
                </c:pt>
                <c:pt idx="3">
                  <c:v>ENERGY + ADAPTIVE</c:v>
                </c:pt>
                <c:pt idx="4">
                  <c:v>ADAPTIVE + CODEC</c:v>
                </c:pt>
                <c:pt idx="5">
                  <c:v>CODEC</c:v>
                </c:pt>
                <c:pt idx="6">
                  <c:v>CODEC + ENERGY</c:v>
                </c:pt>
                <c:pt idx="7">
                  <c:v>CODEC + ENERGY + ADAPTIVE</c:v>
                </c:pt>
              </c:strCache>
            </c:strRef>
          </c:cat>
          <c:val>
            <c:numRef>
              <c:f>Hoja1!$G$13:$G$20</c:f>
              <c:numCache>
                <c:formatCode>General</c:formatCode>
                <c:ptCount val="8"/>
                <c:pt idx="0">
                  <c:v>33</c:v>
                </c:pt>
                <c:pt idx="1">
                  <c:v>10</c:v>
                </c:pt>
                <c:pt idx="2">
                  <c:v>5</c:v>
                </c:pt>
                <c:pt idx="3">
                  <c:v>7</c:v>
                </c:pt>
                <c:pt idx="4">
                  <c:v>2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66-4392-9193-A8EF4E487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9345247"/>
        <c:axId val="649342847"/>
      </c:barChart>
      <c:catAx>
        <c:axId val="64934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49342847"/>
        <c:crosses val="autoZero"/>
        <c:auto val="1"/>
        <c:lblAlgn val="ctr"/>
        <c:lblOffset val="100"/>
        <c:noMultiLvlLbl val="0"/>
      </c:catAx>
      <c:valAx>
        <c:axId val="64934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4934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Integridad</a:t>
            </a:r>
            <a:r>
              <a:rPr lang="es-MX" baseline="0"/>
              <a:t> de envío LoRa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Hoja1!$F$21</c:f>
              <c:strCache>
                <c:ptCount val="1"/>
                <c:pt idx="0">
                  <c:v>PAQUETES RECIBIDOS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Hoja1!$B$22:$B$29</c:f>
              <c:strCache>
                <c:ptCount val="8"/>
                <c:pt idx="0">
                  <c:v>BASICO</c:v>
                </c:pt>
                <c:pt idx="1">
                  <c:v>ADAPTIVE</c:v>
                </c:pt>
                <c:pt idx="2">
                  <c:v>ENERGY</c:v>
                </c:pt>
                <c:pt idx="3">
                  <c:v>ENERGY + ADAPTIVE</c:v>
                </c:pt>
                <c:pt idx="4">
                  <c:v>ADAPTIVE + CODEC</c:v>
                </c:pt>
                <c:pt idx="5">
                  <c:v>CODEC</c:v>
                </c:pt>
                <c:pt idx="6">
                  <c:v>CODEC + ENERGY</c:v>
                </c:pt>
                <c:pt idx="7">
                  <c:v>CODEC + ENERGY + ADAPTIVE</c:v>
                </c:pt>
              </c:strCache>
            </c:strRef>
          </c:cat>
          <c:val>
            <c:numRef>
              <c:f>Hoja1!$F$22:$F$29</c:f>
              <c:numCache>
                <c:formatCode>General</c:formatCode>
                <c:ptCount val="8"/>
                <c:pt idx="0">
                  <c:v>190</c:v>
                </c:pt>
                <c:pt idx="1">
                  <c:v>200</c:v>
                </c:pt>
                <c:pt idx="2">
                  <c:v>199</c:v>
                </c:pt>
                <c:pt idx="3">
                  <c:v>185</c:v>
                </c:pt>
                <c:pt idx="4">
                  <c:v>187</c:v>
                </c:pt>
                <c:pt idx="5">
                  <c:v>185</c:v>
                </c:pt>
                <c:pt idx="6">
                  <c:v>197</c:v>
                </c:pt>
                <c:pt idx="7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B-42A8-A464-769854F87BBA}"/>
            </c:ext>
          </c:extLst>
        </c:ser>
        <c:ser>
          <c:idx val="1"/>
          <c:order val="1"/>
          <c:tx>
            <c:strRef>
              <c:f>Hoja1!$G$21</c:f>
              <c:strCache>
                <c:ptCount val="1"/>
                <c:pt idx="0">
                  <c:v>PAQUETES PÉRDIDOS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Hoja1!$B$22:$B$29</c:f>
              <c:strCache>
                <c:ptCount val="8"/>
                <c:pt idx="0">
                  <c:v>BASICO</c:v>
                </c:pt>
                <c:pt idx="1">
                  <c:v>ADAPTIVE</c:v>
                </c:pt>
                <c:pt idx="2">
                  <c:v>ENERGY</c:v>
                </c:pt>
                <c:pt idx="3">
                  <c:v>ENERGY + ADAPTIVE</c:v>
                </c:pt>
                <c:pt idx="4">
                  <c:v>ADAPTIVE + CODEC</c:v>
                </c:pt>
                <c:pt idx="5">
                  <c:v>CODEC</c:v>
                </c:pt>
                <c:pt idx="6">
                  <c:v>CODEC + ENERGY</c:v>
                </c:pt>
                <c:pt idx="7">
                  <c:v>CODEC + ENERGY + ADAPTIVE</c:v>
                </c:pt>
              </c:strCache>
            </c:strRef>
          </c:cat>
          <c:val>
            <c:numRef>
              <c:f>Hoja1!$G$22:$G$29</c:f>
              <c:numCache>
                <c:formatCode>General</c:formatCode>
                <c:ptCount val="8"/>
                <c:pt idx="0">
                  <c:v>10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3B-42A8-A464-769854F87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9333727"/>
        <c:axId val="649341887"/>
      </c:barChart>
      <c:catAx>
        <c:axId val="64933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49341887"/>
        <c:crosses val="autoZero"/>
        <c:auto val="1"/>
        <c:lblAlgn val="ctr"/>
        <c:lblOffset val="100"/>
        <c:noMultiLvlLbl val="0"/>
      </c:catAx>
      <c:valAx>
        <c:axId val="64934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4933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_xlchart.v1.7</cx:f>
      </cx:numDim>
    </cx:data>
  </cx:chartData>
  <cx:chart>
    <cx:title pos="t" align="ctr" overlay="0">
      <cx:tx>
        <cx:txData>
          <cx:v>Estabilidad del Radio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Estabilidad del Radio</a:t>
          </a:r>
        </a:p>
      </cx:txPr>
    </cx:title>
    <cx:plotArea>
      <cx:plotAreaRegion>
        <cx:series layoutId="boxWhisker" uniqueId="{F7133788-1129-4FB7-B5EE-355D2AD50E0E}">
          <cx:tx>
            <cx:txData>
              <cx:f>_xlchart.v1.8</cx:f>
              <cx:v>PORCENTAJE DE PÉRDIDA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</cx:plotAreaRegion>
      <cx:axis id="0">
        <cx:catScaling gapWidth="1.10000002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987380</xdr:colOff>
      <xdr:row>30</xdr:row>
      <xdr:rowOff>53662</xdr:rowOff>
    </xdr:from>
    <xdr:to>
      <xdr:col>10</xdr:col>
      <xdr:colOff>692631</xdr:colOff>
      <xdr:row>44</xdr:row>
      <xdr:rowOff>182450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244706-681F-670B-1D2C-4B3A29AAD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994318</xdr:colOff>
      <xdr:row>29</xdr:row>
      <xdr:rowOff>180279</xdr:rowOff>
    </xdr:from>
    <xdr:to>
      <xdr:col>7</xdr:col>
      <xdr:colOff>557562</xdr:colOff>
      <xdr:row>44</xdr:row>
      <xdr:rowOff>135674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DB17FCC-65A1-69C7-242B-E84ED0FC9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13010</xdr:rowOff>
    </xdr:from>
    <xdr:to>
      <xdr:col>4</xdr:col>
      <xdr:colOff>631902</xdr:colOff>
      <xdr:row>44</xdr:row>
      <xdr:rowOff>154259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744FDC2-8874-841E-A94E-40BCEF40B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1191296</xdr:colOff>
      <xdr:row>46</xdr:row>
      <xdr:rowOff>12878</xdr:rowOff>
    </xdr:from>
    <xdr:to>
      <xdr:col>10</xdr:col>
      <xdr:colOff>547353</xdr:colOff>
      <xdr:row>61</xdr:row>
      <xdr:rowOff>19318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CE9B73C0-3CB2-18DF-C292-08DCCA0D9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1223492</xdr:colOff>
      <xdr:row>46</xdr:row>
      <xdr:rowOff>12880</xdr:rowOff>
    </xdr:from>
    <xdr:to>
      <xdr:col>7</xdr:col>
      <xdr:colOff>472224</xdr:colOff>
      <xdr:row>61</xdr:row>
      <xdr:rowOff>19319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7731B656-42A2-D044-0EE1-EC70EC6FD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45</xdr:row>
      <xdr:rowOff>34343</xdr:rowOff>
    </xdr:from>
    <xdr:to>
      <xdr:col>4</xdr:col>
      <xdr:colOff>622479</xdr:colOff>
      <xdr:row>60</xdr:row>
      <xdr:rowOff>40782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7976773-7094-A7D3-0DAA-9AA51F578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53662</xdr:colOff>
      <xdr:row>61</xdr:row>
      <xdr:rowOff>141667</xdr:rowOff>
    </xdr:from>
    <xdr:to>
      <xdr:col>4</xdr:col>
      <xdr:colOff>676141</xdr:colOff>
      <xdr:row>76</xdr:row>
      <xdr:rowOff>148107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Gráfico 20">
              <a:extLst>
                <a:ext uri="{FF2B5EF4-FFF2-40B4-BE49-F238E27FC236}">
                  <a16:creationId xmlns:a16="http://schemas.microsoft.com/office/drawing/2014/main" id="{DB72914E-4327-86DC-684B-A09FA7B024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662" y="113140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CB90-EE67-49F2-B71E-283C8DA9AB5B}">
  <dimension ref="A3:L51"/>
  <sheetViews>
    <sheetView tabSelected="1" zoomScale="71" workbookViewId="0">
      <selection activeCell="H27" sqref="H27"/>
    </sheetView>
  </sheetViews>
  <sheetFormatPr baseColWidth="10" defaultRowHeight="14.4" x14ac:dyDescent="0.3"/>
  <cols>
    <col min="1" max="1" width="11.5546875" customWidth="1"/>
    <col min="2" max="2" width="25.33203125" bestFit="1" customWidth="1"/>
    <col min="4" max="4" width="9.109375" bestFit="1" customWidth="1"/>
    <col min="5" max="5" width="25.44140625" bestFit="1" customWidth="1"/>
    <col min="6" max="6" width="26.44140625" bestFit="1" customWidth="1"/>
    <col min="7" max="7" width="25.6640625" bestFit="1" customWidth="1"/>
    <col min="8" max="8" width="30.44140625" bestFit="1" customWidth="1"/>
    <col min="9" max="9" width="17.44140625" bestFit="1" customWidth="1"/>
    <col min="10" max="10" width="28.109375" customWidth="1"/>
    <col min="11" max="11" width="30.6640625" bestFit="1" customWidth="1"/>
    <col min="12" max="12" width="25.77734375" bestFit="1" customWidth="1"/>
  </cols>
  <sheetData>
    <row r="3" spans="1:12" ht="18" x14ac:dyDescent="0.35">
      <c r="A3" s="4" t="s">
        <v>18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16</v>
      </c>
      <c r="G3" s="4" t="s">
        <v>4</v>
      </c>
      <c r="H3" s="4" t="s">
        <v>5</v>
      </c>
      <c r="I3" s="4" t="s">
        <v>20</v>
      </c>
      <c r="J3" s="4" t="s">
        <v>22</v>
      </c>
      <c r="K3" s="8" t="s">
        <v>21</v>
      </c>
      <c r="L3" s="9" t="s">
        <v>23</v>
      </c>
    </row>
    <row r="4" spans="1:12" x14ac:dyDescent="0.3">
      <c r="A4" s="1">
        <v>1</v>
      </c>
      <c r="B4" s="1" t="s">
        <v>7</v>
      </c>
      <c r="C4" s="1" t="s">
        <v>6</v>
      </c>
      <c r="D4" s="1" t="s">
        <v>15</v>
      </c>
      <c r="E4" s="1">
        <v>199</v>
      </c>
      <c r="F4" s="1">
        <v>199</v>
      </c>
      <c r="G4" s="1">
        <f>E4-F4</f>
        <v>0</v>
      </c>
      <c r="H4" s="5">
        <f>(G4/E4)*100</f>
        <v>0</v>
      </c>
      <c r="I4" s="5">
        <f>100-H4</f>
        <v>100</v>
      </c>
      <c r="J4" s="1">
        <f>F4/10</f>
        <v>19.899999999999999</v>
      </c>
      <c r="K4" s="5">
        <f>F4 / 600</f>
        <v>0.33166666666666667</v>
      </c>
      <c r="L4" s="10">
        <f>F4/E4</f>
        <v>1</v>
      </c>
    </row>
    <row r="5" spans="1:12" x14ac:dyDescent="0.3">
      <c r="A5" s="1">
        <v>2</v>
      </c>
      <c r="B5" s="1" t="s">
        <v>8</v>
      </c>
      <c r="C5" s="1" t="s">
        <v>6</v>
      </c>
      <c r="D5" s="1" t="s">
        <v>15</v>
      </c>
      <c r="E5" s="1">
        <v>150</v>
      </c>
      <c r="F5" s="1">
        <v>148</v>
      </c>
      <c r="G5" s="1">
        <f t="shared" ref="G5:G29" si="0">E5-F5</f>
        <v>2</v>
      </c>
      <c r="H5" s="5">
        <f t="shared" ref="H5:H29" si="1">(G5/E5)*100</f>
        <v>1.3333333333333335</v>
      </c>
      <c r="I5" s="5">
        <f t="shared" ref="I5:I29" si="2">100-H5</f>
        <v>98.666666666666671</v>
      </c>
      <c r="J5" s="1">
        <f t="shared" ref="J5:J29" si="3">F5/10</f>
        <v>14.8</v>
      </c>
      <c r="K5" s="5">
        <f t="shared" ref="K5:K29" si="4">F5 / 600</f>
        <v>0.24666666666666667</v>
      </c>
      <c r="L5" s="10">
        <f t="shared" ref="L5:L29" si="5">F5/E5</f>
        <v>0.98666666666666669</v>
      </c>
    </row>
    <row r="6" spans="1:12" x14ac:dyDescent="0.3">
      <c r="A6" s="1">
        <v>3</v>
      </c>
      <c r="B6" s="1" t="s">
        <v>9</v>
      </c>
      <c r="C6" s="1" t="s">
        <v>6</v>
      </c>
      <c r="D6" s="1" t="s">
        <v>15</v>
      </c>
      <c r="E6" s="1">
        <v>215</v>
      </c>
      <c r="F6" s="1">
        <v>214</v>
      </c>
      <c r="G6" s="1">
        <f t="shared" si="0"/>
        <v>1</v>
      </c>
      <c r="H6" s="5">
        <f t="shared" si="1"/>
        <v>0.46511627906976744</v>
      </c>
      <c r="I6" s="5">
        <f t="shared" si="2"/>
        <v>99.534883720930239</v>
      </c>
      <c r="J6" s="1">
        <f t="shared" si="3"/>
        <v>21.4</v>
      </c>
      <c r="K6" s="5">
        <f t="shared" si="4"/>
        <v>0.35666666666666669</v>
      </c>
      <c r="L6" s="10">
        <f t="shared" si="5"/>
        <v>0.99534883720930234</v>
      </c>
    </row>
    <row r="7" spans="1:12" x14ac:dyDescent="0.3">
      <c r="A7" s="1">
        <v>4</v>
      </c>
      <c r="B7" s="1" t="s">
        <v>13</v>
      </c>
      <c r="C7" s="1" t="s">
        <v>6</v>
      </c>
      <c r="D7" s="1" t="s">
        <v>15</v>
      </c>
      <c r="E7" s="1">
        <v>138</v>
      </c>
      <c r="F7" s="1">
        <v>138</v>
      </c>
      <c r="G7" s="1">
        <f t="shared" si="0"/>
        <v>0</v>
      </c>
      <c r="H7" s="5">
        <f t="shared" si="1"/>
        <v>0</v>
      </c>
      <c r="I7" s="5">
        <f t="shared" si="2"/>
        <v>100</v>
      </c>
      <c r="J7" s="1">
        <f t="shared" si="3"/>
        <v>13.8</v>
      </c>
      <c r="K7" s="5">
        <f t="shared" si="4"/>
        <v>0.23</v>
      </c>
      <c r="L7" s="10">
        <f t="shared" si="5"/>
        <v>1</v>
      </c>
    </row>
    <row r="8" spans="1:12" x14ac:dyDescent="0.3">
      <c r="A8" s="1">
        <v>5</v>
      </c>
      <c r="B8" s="1" t="s">
        <v>10</v>
      </c>
      <c r="C8" s="1" t="s">
        <v>6</v>
      </c>
      <c r="D8" s="1" t="s">
        <v>15</v>
      </c>
      <c r="E8" s="1">
        <v>348</v>
      </c>
      <c r="F8" s="1">
        <v>346</v>
      </c>
      <c r="G8" s="1">
        <f t="shared" si="0"/>
        <v>2</v>
      </c>
      <c r="H8" s="5">
        <f t="shared" si="1"/>
        <v>0.57471264367816088</v>
      </c>
      <c r="I8" s="5">
        <f t="shared" si="2"/>
        <v>99.425287356321846</v>
      </c>
      <c r="J8" s="1">
        <f t="shared" si="3"/>
        <v>34.6</v>
      </c>
      <c r="K8" s="5">
        <f t="shared" si="4"/>
        <v>0.57666666666666666</v>
      </c>
      <c r="L8" s="10">
        <f t="shared" si="5"/>
        <v>0.99425287356321834</v>
      </c>
    </row>
    <row r="9" spans="1:12" x14ac:dyDescent="0.3">
      <c r="A9" s="1">
        <v>6</v>
      </c>
      <c r="B9" s="1" t="s">
        <v>11</v>
      </c>
      <c r="C9" s="1" t="s">
        <v>6</v>
      </c>
      <c r="D9" s="1" t="s">
        <v>15</v>
      </c>
      <c r="E9" s="1">
        <v>198</v>
      </c>
      <c r="F9" s="1">
        <v>198</v>
      </c>
      <c r="G9" s="1">
        <f t="shared" si="0"/>
        <v>0</v>
      </c>
      <c r="H9" s="5">
        <f t="shared" si="1"/>
        <v>0</v>
      </c>
      <c r="I9" s="5">
        <f t="shared" si="2"/>
        <v>100</v>
      </c>
      <c r="J9" s="1">
        <f t="shared" si="3"/>
        <v>19.8</v>
      </c>
      <c r="K9" s="5">
        <f t="shared" si="4"/>
        <v>0.33</v>
      </c>
      <c r="L9" s="10">
        <f t="shared" si="5"/>
        <v>1</v>
      </c>
    </row>
    <row r="10" spans="1:12" x14ac:dyDescent="0.3">
      <c r="A10" s="1">
        <v>7</v>
      </c>
      <c r="B10" s="1" t="s">
        <v>12</v>
      </c>
      <c r="C10" s="1" t="s">
        <v>6</v>
      </c>
      <c r="D10" s="1" t="s">
        <v>15</v>
      </c>
      <c r="E10" s="1">
        <v>132</v>
      </c>
      <c r="F10" s="1">
        <v>130</v>
      </c>
      <c r="G10" s="1">
        <f t="shared" si="0"/>
        <v>2</v>
      </c>
      <c r="H10" s="5">
        <f t="shared" si="1"/>
        <v>1.5151515151515151</v>
      </c>
      <c r="I10" s="5">
        <f t="shared" si="2"/>
        <v>98.484848484848484</v>
      </c>
      <c r="J10" s="1">
        <f t="shared" si="3"/>
        <v>13</v>
      </c>
      <c r="K10" s="5">
        <f t="shared" si="4"/>
        <v>0.21666666666666667</v>
      </c>
      <c r="L10" s="10">
        <f t="shared" si="5"/>
        <v>0.98484848484848486</v>
      </c>
    </row>
    <row r="11" spans="1:12" x14ac:dyDescent="0.3">
      <c r="A11" s="1">
        <v>8</v>
      </c>
      <c r="B11" s="1" t="s">
        <v>14</v>
      </c>
      <c r="C11" s="1" t="s">
        <v>6</v>
      </c>
      <c r="D11" s="1" t="s">
        <v>15</v>
      </c>
      <c r="E11" s="1">
        <v>200</v>
      </c>
      <c r="F11" s="1">
        <v>192</v>
      </c>
      <c r="G11" s="1">
        <f t="shared" si="0"/>
        <v>8</v>
      </c>
      <c r="H11" s="5">
        <f t="shared" si="1"/>
        <v>4</v>
      </c>
      <c r="I11" s="5">
        <f t="shared" si="2"/>
        <v>96</v>
      </c>
      <c r="J11" s="1">
        <f t="shared" si="3"/>
        <v>19.2</v>
      </c>
      <c r="K11" s="5">
        <f t="shared" si="4"/>
        <v>0.32</v>
      </c>
      <c r="L11" s="10">
        <f t="shared" si="5"/>
        <v>0.96</v>
      </c>
    </row>
    <row r="12" spans="1:12" x14ac:dyDescent="0.3">
      <c r="A12" s="1"/>
      <c r="B12" s="1" t="s">
        <v>0</v>
      </c>
      <c r="C12" s="1"/>
      <c r="D12" s="1"/>
      <c r="E12" s="1"/>
      <c r="F12" s="1" t="s">
        <v>16</v>
      </c>
      <c r="G12" s="1" t="s">
        <v>24</v>
      </c>
      <c r="H12" s="5"/>
      <c r="I12" s="5"/>
      <c r="J12" s="1"/>
      <c r="K12" s="5"/>
      <c r="L12" s="10"/>
    </row>
    <row r="13" spans="1:12" x14ac:dyDescent="0.3">
      <c r="A13" s="2">
        <v>9</v>
      </c>
      <c r="B13" s="2" t="s">
        <v>7</v>
      </c>
      <c r="C13" s="2" t="s">
        <v>17</v>
      </c>
      <c r="D13" s="2" t="s">
        <v>15</v>
      </c>
      <c r="E13" s="2">
        <v>204</v>
      </c>
      <c r="F13" s="2">
        <v>171</v>
      </c>
      <c r="G13" s="2">
        <f t="shared" si="0"/>
        <v>33</v>
      </c>
      <c r="H13" s="6">
        <f t="shared" si="1"/>
        <v>16.176470588235293</v>
      </c>
      <c r="I13" s="6">
        <f t="shared" si="2"/>
        <v>83.82352941176471</v>
      </c>
      <c r="J13" s="2">
        <f t="shared" si="3"/>
        <v>17.100000000000001</v>
      </c>
      <c r="K13" s="6">
        <f t="shared" si="4"/>
        <v>0.28499999999999998</v>
      </c>
      <c r="L13" s="6">
        <f t="shared" si="5"/>
        <v>0.83823529411764708</v>
      </c>
    </row>
    <row r="14" spans="1:12" x14ac:dyDescent="0.3">
      <c r="A14" s="2">
        <v>10</v>
      </c>
      <c r="B14" s="2" t="s">
        <v>8</v>
      </c>
      <c r="C14" s="2" t="s">
        <v>17</v>
      </c>
      <c r="D14" s="2" t="s">
        <v>15</v>
      </c>
      <c r="E14" s="2">
        <v>295</v>
      </c>
      <c r="F14" s="2">
        <v>285</v>
      </c>
      <c r="G14" s="2">
        <f t="shared" si="0"/>
        <v>10</v>
      </c>
      <c r="H14" s="6">
        <f t="shared" si="1"/>
        <v>3.3898305084745761</v>
      </c>
      <c r="I14" s="6">
        <f t="shared" si="2"/>
        <v>96.610169491525426</v>
      </c>
      <c r="J14" s="2">
        <f t="shared" si="3"/>
        <v>28.5</v>
      </c>
      <c r="K14" s="6">
        <f t="shared" si="4"/>
        <v>0.47499999999999998</v>
      </c>
      <c r="L14" s="6">
        <f t="shared" si="5"/>
        <v>0.96610169491525422</v>
      </c>
    </row>
    <row r="15" spans="1:12" x14ac:dyDescent="0.3">
      <c r="A15" s="2">
        <v>11</v>
      </c>
      <c r="B15" s="2" t="s">
        <v>9</v>
      </c>
      <c r="C15" s="2" t="s">
        <v>17</v>
      </c>
      <c r="D15" s="2" t="s">
        <v>15</v>
      </c>
      <c r="E15" s="2">
        <v>205</v>
      </c>
      <c r="F15" s="2">
        <v>200</v>
      </c>
      <c r="G15" s="2">
        <f t="shared" si="0"/>
        <v>5</v>
      </c>
      <c r="H15" s="6">
        <f t="shared" si="1"/>
        <v>2.4390243902439024</v>
      </c>
      <c r="I15" s="6">
        <f t="shared" si="2"/>
        <v>97.560975609756099</v>
      </c>
      <c r="J15" s="2">
        <f t="shared" si="3"/>
        <v>20</v>
      </c>
      <c r="K15" s="6">
        <f t="shared" si="4"/>
        <v>0.33333333333333331</v>
      </c>
      <c r="L15" s="6">
        <f t="shared" si="5"/>
        <v>0.97560975609756095</v>
      </c>
    </row>
    <row r="16" spans="1:12" x14ac:dyDescent="0.3">
      <c r="A16" s="2">
        <v>12</v>
      </c>
      <c r="B16" s="2" t="s">
        <v>13</v>
      </c>
      <c r="C16" s="2" t="s">
        <v>17</v>
      </c>
      <c r="D16" s="2" t="s">
        <v>15</v>
      </c>
      <c r="E16" s="2">
        <v>100</v>
      </c>
      <c r="F16" s="2">
        <v>93</v>
      </c>
      <c r="G16" s="2">
        <f t="shared" si="0"/>
        <v>7</v>
      </c>
      <c r="H16" s="6">
        <f t="shared" si="1"/>
        <v>7.0000000000000009</v>
      </c>
      <c r="I16" s="6">
        <f t="shared" si="2"/>
        <v>93</v>
      </c>
      <c r="J16" s="2">
        <f t="shared" si="3"/>
        <v>9.3000000000000007</v>
      </c>
      <c r="K16" s="6">
        <f t="shared" si="4"/>
        <v>0.155</v>
      </c>
      <c r="L16" s="6">
        <f t="shared" si="5"/>
        <v>0.93</v>
      </c>
    </row>
    <row r="17" spans="1:12" x14ac:dyDescent="0.3">
      <c r="A17" s="2">
        <v>13</v>
      </c>
      <c r="B17" s="2" t="s">
        <v>10</v>
      </c>
      <c r="C17" s="2" t="s">
        <v>17</v>
      </c>
      <c r="D17" s="2" t="s">
        <v>15</v>
      </c>
      <c r="E17" s="2">
        <v>212</v>
      </c>
      <c r="F17" s="2">
        <v>210</v>
      </c>
      <c r="G17" s="2">
        <f t="shared" si="0"/>
        <v>2</v>
      </c>
      <c r="H17" s="6">
        <f t="shared" si="1"/>
        <v>0.94339622641509435</v>
      </c>
      <c r="I17" s="6">
        <f t="shared" si="2"/>
        <v>99.056603773584911</v>
      </c>
      <c r="J17" s="2">
        <f t="shared" si="3"/>
        <v>21</v>
      </c>
      <c r="K17" s="6">
        <f t="shared" si="4"/>
        <v>0.35</v>
      </c>
      <c r="L17" s="6">
        <f t="shared" si="5"/>
        <v>0.99056603773584906</v>
      </c>
    </row>
    <row r="18" spans="1:12" x14ac:dyDescent="0.3">
      <c r="A18" s="2">
        <v>14</v>
      </c>
      <c r="B18" s="2" t="s">
        <v>11</v>
      </c>
      <c r="C18" s="2" t="s">
        <v>17</v>
      </c>
      <c r="D18" s="2" t="s">
        <v>15</v>
      </c>
      <c r="E18" s="2">
        <v>303</v>
      </c>
      <c r="F18" s="2">
        <v>295</v>
      </c>
      <c r="G18" s="2">
        <f t="shared" si="0"/>
        <v>8</v>
      </c>
      <c r="H18" s="6">
        <f t="shared" si="1"/>
        <v>2.6402640264026402</v>
      </c>
      <c r="I18" s="6">
        <f t="shared" si="2"/>
        <v>97.359735973597367</v>
      </c>
      <c r="J18" s="2">
        <f t="shared" si="3"/>
        <v>29.5</v>
      </c>
      <c r="K18" s="6">
        <f t="shared" si="4"/>
        <v>0.49166666666666664</v>
      </c>
      <c r="L18" s="6">
        <f t="shared" si="5"/>
        <v>0.97359735973597361</v>
      </c>
    </row>
    <row r="19" spans="1:12" x14ac:dyDescent="0.3">
      <c r="A19" s="2">
        <v>15</v>
      </c>
      <c r="B19" s="2" t="s">
        <v>12</v>
      </c>
      <c r="C19" s="2" t="s">
        <v>17</v>
      </c>
      <c r="D19" s="2" t="s">
        <v>15</v>
      </c>
      <c r="E19" s="2">
        <v>208</v>
      </c>
      <c r="F19" s="2">
        <v>200</v>
      </c>
      <c r="G19" s="2">
        <f t="shared" si="0"/>
        <v>8</v>
      </c>
      <c r="H19" s="6">
        <f t="shared" si="1"/>
        <v>3.8461538461538463</v>
      </c>
      <c r="I19" s="6">
        <f t="shared" si="2"/>
        <v>96.15384615384616</v>
      </c>
      <c r="J19" s="2">
        <f t="shared" si="3"/>
        <v>20</v>
      </c>
      <c r="K19" s="6">
        <f t="shared" si="4"/>
        <v>0.33333333333333331</v>
      </c>
      <c r="L19" s="6">
        <f t="shared" si="5"/>
        <v>0.96153846153846156</v>
      </c>
    </row>
    <row r="20" spans="1:12" x14ac:dyDescent="0.3">
      <c r="A20" s="2">
        <v>16</v>
      </c>
      <c r="B20" s="2" t="s">
        <v>14</v>
      </c>
      <c r="C20" s="2" t="s">
        <v>17</v>
      </c>
      <c r="D20" s="2" t="s">
        <v>15</v>
      </c>
      <c r="E20" s="2">
        <v>208</v>
      </c>
      <c r="F20" s="2">
        <v>200</v>
      </c>
      <c r="G20" s="2">
        <f t="shared" si="0"/>
        <v>8</v>
      </c>
      <c r="H20" s="6">
        <f t="shared" si="1"/>
        <v>3.8461538461538463</v>
      </c>
      <c r="I20" s="6">
        <f t="shared" si="2"/>
        <v>96.15384615384616</v>
      </c>
      <c r="J20" s="2">
        <f t="shared" si="3"/>
        <v>20</v>
      </c>
      <c r="K20" s="6">
        <f t="shared" si="4"/>
        <v>0.33333333333333331</v>
      </c>
      <c r="L20" s="6">
        <f t="shared" si="5"/>
        <v>0.96153846153846156</v>
      </c>
    </row>
    <row r="21" spans="1:12" x14ac:dyDescent="0.3">
      <c r="A21" s="2"/>
      <c r="B21" s="2" t="s">
        <v>0</v>
      </c>
      <c r="C21" s="2"/>
      <c r="D21" s="2"/>
      <c r="E21" s="2"/>
      <c r="F21" s="2" t="s">
        <v>16</v>
      </c>
      <c r="G21" s="2" t="s">
        <v>24</v>
      </c>
      <c r="H21" s="6"/>
      <c r="I21" s="6"/>
      <c r="J21" s="2"/>
      <c r="K21" s="6"/>
      <c r="L21" s="6"/>
    </row>
    <row r="22" spans="1:12" x14ac:dyDescent="0.3">
      <c r="A22" s="3">
        <v>17</v>
      </c>
      <c r="B22" s="3" t="s">
        <v>7</v>
      </c>
      <c r="C22" s="3" t="s">
        <v>19</v>
      </c>
      <c r="D22" s="3" t="s">
        <v>15</v>
      </c>
      <c r="E22" s="3">
        <v>200</v>
      </c>
      <c r="F22" s="3">
        <v>190</v>
      </c>
      <c r="G22" s="3">
        <f t="shared" si="0"/>
        <v>10</v>
      </c>
      <c r="H22" s="7">
        <f t="shared" si="1"/>
        <v>5</v>
      </c>
      <c r="I22" s="7">
        <f t="shared" si="2"/>
        <v>95</v>
      </c>
      <c r="J22" s="3">
        <f t="shared" si="3"/>
        <v>19</v>
      </c>
      <c r="K22" s="7">
        <f t="shared" si="4"/>
        <v>0.31666666666666665</v>
      </c>
      <c r="L22" s="7">
        <f t="shared" si="5"/>
        <v>0.95</v>
      </c>
    </row>
    <row r="23" spans="1:12" x14ac:dyDescent="0.3">
      <c r="A23" s="3">
        <v>18</v>
      </c>
      <c r="B23" s="3" t="s">
        <v>8</v>
      </c>
      <c r="C23" s="3" t="s">
        <v>19</v>
      </c>
      <c r="D23" s="3" t="s">
        <v>15</v>
      </c>
      <c r="E23" s="3">
        <v>200</v>
      </c>
      <c r="F23" s="3">
        <v>200</v>
      </c>
      <c r="G23" s="3">
        <f t="shared" si="0"/>
        <v>0</v>
      </c>
      <c r="H23" s="7">
        <f t="shared" si="1"/>
        <v>0</v>
      </c>
      <c r="I23" s="7">
        <f t="shared" si="2"/>
        <v>100</v>
      </c>
      <c r="J23" s="3">
        <f t="shared" si="3"/>
        <v>20</v>
      </c>
      <c r="K23" s="7">
        <f t="shared" si="4"/>
        <v>0.33333333333333331</v>
      </c>
      <c r="L23" s="7">
        <f t="shared" si="5"/>
        <v>1</v>
      </c>
    </row>
    <row r="24" spans="1:12" x14ac:dyDescent="0.3">
      <c r="A24" s="3">
        <v>19</v>
      </c>
      <c r="B24" s="3" t="s">
        <v>9</v>
      </c>
      <c r="C24" s="3" t="s">
        <v>19</v>
      </c>
      <c r="D24" s="3" t="s">
        <v>15</v>
      </c>
      <c r="E24" s="3">
        <v>200</v>
      </c>
      <c r="F24" s="3">
        <v>199</v>
      </c>
      <c r="G24" s="3">
        <f t="shared" si="0"/>
        <v>1</v>
      </c>
      <c r="H24" s="7">
        <f t="shared" si="1"/>
        <v>0.5</v>
      </c>
      <c r="I24" s="7">
        <f t="shared" si="2"/>
        <v>99.5</v>
      </c>
      <c r="J24" s="3">
        <f t="shared" si="3"/>
        <v>19.899999999999999</v>
      </c>
      <c r="K24" s="7">
        <f t="shared" si="4"/>
        <v>0.33166666666666667</v>
      </c>
      <c r="L24" s="7">
        <f t="shared" si="5"/>
        <v>0.995</v>
      </c>
    </row>
    <row r="25" spans="1:12" x14ac:dyDescent="0.3">
      <c r="A25" s="3">
        <v>20</v>
      </c>
      <c r="B25" s="3" t="s">
        <v>13</v>
      </c>
      <c r="C25" s="3" t="s">
        <v>19</v>
      </c>
      <c r="D25" s="3" t="s">
        <v>15</v>
      </c>
      <c r="E25" s="3">
        <v>190</v>
      </c>
      <c r="F25" s="3">
        <v>185</v>
      </c>
      <c r="G25" s="3">
        <f t="shared" si="0"/>
        <v>5</v>
      </c>
      <c r="H25" s="7">
        <f t="shared" si="1"/>
        <v>2.6315789473684208</v>
      </c>
      <c r="I25" s="7">
        <f t="shared" si="2"/>
        <v>97.368421052631575</v>
      </c>
      <c r="J25" s="3">
        <f t="shared" si="3"/>
        <v>18.5</v>
      </c>
      <c r="K25" s="7">
        <f t="shared" si="4"/>
        <v>0.30833333333333335</v>
      </c>
      <c r="L25" s="7">
        <f t="shared" si="5"/>
        <v>0.97368421052631582</v>
      </c>
    </row>
    <row r="26" spans="1:12" x14ac:dyDescent="0.3">
      <c r="A26" s="3">
        <v>21</v>
      </c>
      <c r="B26" s="3" t="s">
        <v>10</v>
      </c>
      <c r="C26" s="3" t="s">
        <v>19</v>
      </c>
      <c r="D26" s="3" t="s">
        <v>15</v>
      </c>
      <c r="E26" s="3">
        <v>190</v>
      </c>
      <c r="F26" s="3">
        <v>187</v>
      </c>
      <c r="G26" s="3">
        <f t="shared" si="0"/>
        <v>3</v>
      </c>
      <c r="H26" s="7">
        <f t="shared" si="1"/>
        <v>1.5789473684210527</v>
      </c>
      <c r="I26" s="7">
        <f t="shared" si="2"/>
        <v>98.421052631578945</v>
      </c>
      <c r="J26" s="3">
        <f t="shared" si="3"/>
        <v>18.7</v>
      </c>
      <c r="K26" s="7">
        <f t="shared" si="4"/>
        <v>0.31166666666666665</v>
      </c>
      <c r="L26" s="7">
        <f t="shared" si="5"/>
        <v>0.98421052631578942</v>
      </c>
    </row>
    <row r="27" spans="1:12" x14ac:dyDescent="0.3">
      <c r="A27" s="3">
        <v>22</v>
      </c>
      <c r="B27" s="3" t="s">
        <v>11</v>
      </c>
      <c r="C27" s="3" t="s">
        <v>19</v>
      </c>
      <c r="D27" s="3" t="s">
        <v>15</v>
      </c>
      <c r="E27" s="3">
        <v>187</v>
      </c>
      <c r="F27" s="3">
        <v>185</v>
      </c>
      <c r="G27" s="3">
        <f t="shared" si="0"/>
        <v>2</v>
      </c>
      <c r="H27" s="7">
        <f t="shared" si="1"/>
        <v>1.0695187165775399</v>
      </c>
      <c r="I27" s="7">
        <f t="shared" si="2"/>
        <v>98.930481283422466</v>
      </c>
      <c r="J27" s="3">
        <f t="shared" si="3"/>
        <v>18.5</v>
      </c>
      <c r="K27" s="7">
        <f t="shared" si="4"/>
        <v>0.30833333333333335</v>
      </c>
      <c r="L27" s="7">
        <f t="shared" si="5"/>
        <v>0.98930481283422456</v>
      </c>
    </row>
    <row r="28" spans="1:12" x14ac:dyDescent="0.3">
      <c r="A28" s="3">
        <v>23</v>
      </c>
      <c r="B28" s="3" t="s">
        <v>12</v>
      </c>
      <c r="C28" s="3" t="s">
        <v>19</v>
      </c>
      <c r="D28" s="3" t="s">
        <v>15</v>
      </c>
      <c r="E28" s="3">
        <v>199</v>
      </c>
      <c r="F28" s="3">
        <v>197</v>
      </c>
      <c r="G28" s="3">
        <f>E28-F28</f>
        <v>2</v>
      </c>
      <c r="H28" s="7">
        <f t="shared" si="1"/>
        <v>1.0050251256281406</v>
      </c>
      <c r="I28" s="7">
        <f t="shared" si="2"/>
        <v>98.994974874371863</v>
      </c>
      <c r="J28" s="3">
        <f t="shared" si="3"/>
        <v>19.7</v>
      </c>
      <c r="K28" s="7">
        <f t="shared" si="4"/>
        <v>0.32833333333333331</v>
      </c>
      <c r="L28" s="7">
        <f t="shared" si="5"/>
        <v>0.98994974874371855</v>
      </c>
    </row>
    <row r="29" spans="1:12" x14ac:dyDescent="0.3">
      <c r="A29" s="3">
        <v>24</v>
      </c>
      <c r="B29" s="3" t="s">
        <v>14</v>
      </c>
      <c r="C29" s="3" t="s">
        <v>19</v>
      </c>
      <c r="D29" s="3" t="s">
        <v>15</v>
      </c>
      <c r="E29" s="3">
        <v>200</v>
      </c>
      <c r="F29" s="3">
        <v>199</v>
      </c>
      <c r="G29" s="3">
        <f t="shared" si="0"/>
        <v>1</v>
      </c>
      <c r="H29" s="7">
        <f t="shared" si="1"/>
        <v>0.5</v>
      </c>
      <c r="I29" s="7">
        <f t="shared" si="2"/>
        <v>99.5</v>
      </c>
      <c r="J29" s="3">
        <f t="shared" si="3"/>
        <v>19.899999999999999</v>
      </c>
      <c r="K29" s="7">
        <f t="shared" si="4"/>
        <v>0.33166666666666667</v>
      </c>
      <c r="L29" s="7">
        <f t="shared" si="5"/>
        <v>0.995</v>
      </c>
    </row>
    <row r="51" spans="3:3" x14ac:dyDescent="0.3">
      <c r="C51" t="s">
        <v>25</v>
      </c>
    </row>
  </sheetData>
  <phoneticPr fontId="1" type="noConversion"/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TOX DZUL OMAR</dc:creator>
  <cp:lastModifiedBy>TOX DZUL OMAR</cp:lastModifiedBy>
  <dcterms:created xsi:type="dcterms:W3CDTF">2025-11-10T16:53:46Z</dcterms:created>
  <dcterms:modified xsi:type="dcterms:W3CDTF">2025-11-17T17:17:25Z</dcterms:modified>
</cp:coreProperties>
</file>