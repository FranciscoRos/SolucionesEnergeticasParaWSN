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ITCH\2023\Sistemas\CongresoResidencias\"/>
    </mc:Choice>
  </mc:AlternateContent>
  <xr:revisionPtr revIDLastSave="0" documentId="13_ncr:1_{332280C4-48B9-4075-8ECE-8F3043D58C3D}" xr6:coauthVersionLast="47" xr6:coauthVersionMax="47" xr10:uidLastSave="{00000000-0000-0000-0000-000000000000}"/>
  <bookViews>
    <workbookView xWindow="-98" yWindow="-98" windowWidth="19095" windowHeight="12075" activeTab="2" xr2:uid="{02909763-67F4-47E2-8E1A-EDEEDF86E195}"/>
  </bookViews>
  <sheets>
    <sheet name="Evaluador 1" sheetId="1" r:id="rId1"/>
    <sheet name="Evaluador 2" sheetId="6" r:id="rId2"/>
    <sheet name="Evaluador 3" sheetId="7" r:id="rId3"/>
    <sheet name="Promedio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9" i="5" l="1"/>
  <c r="W8" i="5"/>
  <c r="W7" i="5"/>
  <c r="L9" i="5"/>
  <c r="G9" i="5"/>
  <c r="G8" i="5"/>
  <c r="G7" i="5"/>
  <c r="G6" i="5"/>
  <c r="W30" i="7"/>
  <c r="X30" i="7" s="1"/>
  <c r="V30" i="7"/>
  <c r="K30" i="7"/>
  <c r="L30" i="7" s="1"/>
  <c r="L29" i="7" s="1"/>
  <c r="J30" i="7"/>
  <c r="X28" i="7"/>
  <c r="L28" i="7"/>
  <c r="X27" i="7"/>
  <c r="L27" i="7"/>
  <c r="X26" i="7"/>
  <c r="L26" i="7"/>
  <c r="X25" i="7"/>
  <c r="L25" i="7"/>
  <c r="X24" i="7"/>
  <c r="J21" i="7"/>
  <c r="K21" i="7" s="1"/>
  <c r="L21" i="7" s="1"/>
  <c r="L20" i="7"/>
  <c r="V19" i="7"/>
  <c r="W19" i="7" s="1"/>
  <c r="X19" i="7" s="1"/>
  <c r="L19" i="7"/>
  <c r="X18" i="7"/>
  <c r="L18" i="7"/>
  <c r="X17" i="7"/>
  <c r="L17" i="7"/>
  <c r="X16" i="7"/>
  <c r="L16" i="7"/>
  <c r="X15" i="7"/>
  <c r="L15" i="7"/>
  <c r="W9" i="7"/>
  <c r="L9" i="7"/>
  <c r="G9" i="7"/>
  <c r="W8" i="7"/>
  <c r="G8" i="7"/>
  <c r="W7" i="7"/>
  <c r="G7" i="7"/>
  <c r="G6" i="7"/>
  <c r="W9" i="6"/>
  <c r="W8" i="6"/>
  <c r="W7" i="6"/>
  <c r="L9" i="6"/>
  <c r="G9" i="6"/>
  <c r="G8" i="6"/>
  <c r="G7" i="6"/>
  <c r="G6" i="6"/>
  <c r="W30" i="6"/>
  <c r="X30" i="6" s="1"/>
  <c r="V30" i="6"/>
  <c r="J30" i="6"/>
  <c r="J35" i="6" s="1"/>
  <c r="X28" i="6"/>
  <c r="L28" i="6"/>
  <c r="X27" i="6"/>
  <c r="L27" i="6"/>
  <c r="X26" i="6"/>
  <c r="L26" i="6"/>
  <c r="X25" i="6"/>
  <c r="L25" i="6"/>
  <c r="X24" i="6"/>
  <c r="J21" i="6"/>
  <c r="K21" i="6" s="1"/>
  <c r="L21" i="6" s="1"/>
  <c r="L20" i="6"/>
  <c r="W19" i="6"/>
  <c r="X19" i="6" s="1"/>
  <c r="V19" i="6"/>
  <c r="L19" i="6"/>
  <c r="X18" i="6"/>
  <c r="L18" i="6"/>
  <c r="X17" i="6"/>
  <c r="L17" i="6"/>
  <c r="X16" i="6"/>
  <c r="L16" i="6"/>
  <c r="X15" i="6"/>
  <c r="L15" i="6"/>
  <c r="W25" i="5"/>
  <c r="X25" i="5" s="1"/>
  <c r="W26" i="5"/>
  <c r="X26" i="5" s="1"/>
  <c r="W27" i="5"/>
  <c r="W28" i="5"/>
  <c r="X28" i="5" s="1"/>
  <c r="W29" i="5"/>
  <c r="W24" i="5"/>
  <c r="K26" i="5"/>
  <c r="L26" i="5" s="1"/>
  <c r="K27" i="5"/>
  <c r="L27" i="5" s="1"/>
  <c r="K28" i="5"/>
  <c r="K29" i="5"/>
  <c r="K25" i="5"/>
  <c r="L25" i="5" s="1"/>
  <c r="W16" i="5"/>
  <c r="X16" i="5" s="1"/>
  <c r="W17" i="5"/>
  <c r="X17" i="5" s="1"/>
  <c r="W18" i="5"/>
  <c r="X18" i="5" s="1"/>
  <c r="W15" i="5"/>
  <c r="X15" i="5" s="1"/>
  <c r="K16" i="5"/>
  <c r="L16" i="5" s="1"/>
  <c r="K17" i="5"/>
  <c r="L17" i="5" s="1"/>
  <c r="K18" i="5"/>
  <c r="L18" i="5" s="1"/>
  <c r="K19" i="5"/>
  <c r="L19" i="5" s="1"/>
  <c r="K20" i="5"/>
  <c r="L20" i="5" s="1"/>
  <c r="K15" i="5"/>
  <c r="L15" i="5" s="1"/>
  <c r="V30" i="5"/>
  <c r="J30" i="5"/>
  <c r="L28" i="5"/>
  <c r="X27" i="5"/>
  <c r="J21" i="5"/>
  <c r="V19" i="5"/>
  <c r="W30" i="1"/>
  <c r="X30" i="1" s="1"/>
  <c r="V30" i="1"/>
  <c r="K30" i="1"/>
  <c r="L30" i="1" s="1"/>
  <c r="J30" i="1"/>
  <c r="J35" i="1" s="1"/>
  <c r="X28" i="1"/>
  <c r="L28" i="1"/>
  <c r="X27" i="1"/>
  <c r="L27" i="1"/>
  <c r="X26" i="1"/>
  <c r="L26" i="1"/>
  <c r="X25" i="1"/>
  <c r="L25" i="1"/>
  <c r="X24" i="1"/>
  <c r="J21" i="1"/>
  <c r="K21" i="1" s="1"/>
  <c r="L21" i="1" s="1"/>
  <c r="L20" i="1"/>
  <c r="V19" i="1"/>
  <c r="W19" i="1" s="1"/>
  <c r="X19" i="1" s="1"/>
  <c r="L19" i="1"/>
  <c r="X18" i="1"/>
  <c r="L18" i="1"/>
  <c r="X17" i="1"/>
  <c r="L17" i="1"/>
  <c r="X16" i="1"/>
  <c r="L16" i="1"/>
  <c r="X15" i="1"/>
  <c r="L15" i="1"/>
  <c r="L29" i="1" l="1"/>
  <c r="K35" i="7"/>
  <c r="X29" i="7"/>
  <c r="J35" i="7"/>
  <c r="X29" i="6"/>
  <c r="K30" i="6"/>
  <c r="L30" i="6" s="1"/>
  <c r="L29" i="6" s="1"/>
  <c r="W30" i="5"/>
  <c r="X30" i="5" s="1"/>
  <c r="X24" i="5"/>
  <c r="K30" i="5"/>
  <c r="L30" i="5" s="1"/>
  <c r="L29" i="5" s="1"/>
  <c r="W19" i="5"/>
  <c r="X19" i="5" s="1"/>
  <c r="K21" i="5"/>
  <c r="L21" i="5" s="1"/>
  <c r="J35" i="5"/>
  <c r="X29" i="1"/>
  <c r="K35" i="1"/>
  <c r="X29" i="5" l="1"/>
  <c r="L35" i="7"/>
  <c r="M35" i="7"/>
  <c r="K35" i="6"/>
  <c r="K35" i="5"/>
  <c r="L35" i="5" s="1"/>
  <c r="M35" i="1"/>
  <c r="L35" i="1"/>
  <c r="M35" i="6" l="1"/>
  <c r="L35" i="6"/>
  <c r="M35" i="5"/>
</calcChain>
</file>

<file path=xl/sharedStrings.xml><?xml version="1.0" encoding="utf-8"?>
<sst xmlns="http://schemas.openxmlformats.org/spreadsheetml/2006/main" count="269" uniqueCount="50">
  <si>
    <t>Instituto Tecnológico de Chetumal</t>
  </si>
  <si>
    <t>Evaluación de exposición oral</t>
  </si>
  <si>
    <t>Atributo y Criterio: AE4CD2</t>
  </si>
  <si>
    <t>Proyecto expuesto:</t>
  </si>
  <si>
    <t>Nombre del expositor:</t>
  </si>
  <si>
    <t>Num. ctrl.</t>
  </si>
  <si>
    <t>Asignatura:</t>
  </si>
  <si>
    <t>Clave</t>
  </si>
  <si>
    <t>Grupo:</t>
  </si>
  <si>
    <t>Carrera</t>
  </si>
  <si>
    <t>Fecha:</t>
  </si>
  <si>
    <t>Nombre del evaluador:</t>
  </si>
  <si>
    <t>Firma:</t>
  </si>
  <si>
    <t>Contenido de la exposición</t>
  </si>
  <si>
    <t>Características de la presentación</t>
  </si>
  <si>
    <t>Csc</t>
  </si>
  <si>
    <t>Factor evaluado</t>
  </si>
  <si>
    <t>Valor</t>
  </si>
  <si>
    <t>Calif</t>
  </si>
  <si>
    <t>Puntos</t>
  </si>
  <si>
    <t>Plateamiento del problema y objetivos</t>
  </si>
  <si>
    <t>Uso de ejemplos, dibujos o gráficas</t>
  </si>
  <si>
    <t>Descripción de la empresa de ejecución del proyecto</t>
  </si>
  <si>
    <t>Uso adecuado de frases cortas y simples</t>
  </si>
  <si>
    <t>Justificación</t>
  </si>
  <si>
    <t>Ortografía</t>
  </si>
  <si>
    <t>Antecedentes y marco teórico</t>
  </si>
  <si>
    <t>Estética</t>
  </si>
  <si>
    <t>Total</t>
  </si>
  <si>
    <t>Resultados, competencias alcanzadas y conclusiones</t>
  </si>
  <si>
    <t>Cualidades del ponente</t>
  </si>
  <si>
    <t>Exposición</t>
  </si>
  <si>
    <t>Factores evaluados</t>
  </si>
  <si>
    <t>Dominio de los temas expuestos</t>
  </si>
  <si>
    <t>Lenguaje apropiado</t>
  </si>
  <si>
    <t>Respeto</t>
  </si>
  <si>
    <t>Modulación de la voz</t>
  </si>
  <si>
    <t>Sencillez en su exposición</t>
  </si>
  <si>
    <t>Interés despertado en la exposición</t>
  </si>
  <si>
    <t>Lenguaje corporal</t>
  </si>
  <si>
    <t>Volumen de la voz</t>
  </si>
  <si>
    <t>Seguridad al exponer</t>
  </si>
  <si>
    <t>Entendimiento de los temas expuestos</t>
  </si>
  <si>
    <t>Carisma</t>
  </si>
  <si>
    <t>Calificaciones globales</t>
  </si>
  <si>
    <t>Escala</t>
  </si>
  <si>
    <t>Metodología</t>
  </si>
  <si>
    <t>Promedio general</t>
  </si>
  <si>
    <t>Porcedimiento y actividades realizadas</t>
  </si>
  <si>
    <t>Resultados y conclusiones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</si>
</sst>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theme="1"/>
      <name val="Constantia"/>
      <family val="1"/>
    </font>
    <font>
      <sz val="11"/>
      <color theme="1"/>
      <name val="Constantia"/>
      <family val="1"/>
    </font>
    <font>
      <b/>
      <sz val="14"/>
      <color theme="1"/>
      <name val="Constantia"/>
      <family val="1"/>
    </font>
    <font>
      <b/>
      <sz val="11"/>
      <color theme="1"/>
      <name val="Constantia"/>
      <family val="1"/>
    </font>
    <font>
      <b/>
      <sz val="11"/>
      <name val="Constantia"/>
      <family val="1"/>
    </font>
    <font>
      <b/>
      <i/>
      <sz val="11"/>
      <color theme="1"/>
      <name val="Constantia"/>
      <family val="1"/>
    </font>
    <font>
      <sz val="11"/>
      <name val="Constantia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2" fillId="0" borderId="0" xfId="0" applyFont="1"/>
    <xf numFmtId="0" fontId="3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5" fillId="2" borderId="13" xfId="0" applyFont="1" applyFill="1" applyBorder="1" applyAlignment="1">
      <alignment horizontal="center"/>
    </xf>
    <xf numFmtId="0" fontId="2" fillId="0" borderId="12" xfId="0" applyFont="1" applyBorder="1"/>
    <xf numFmtId="0" fontId="2" fillId="3" borderId="12" xfId="0" applyFont="1" applyFill="1" applyBorder="1"/>
    <xf numFmtId="0" fontId="5" fillId="2" borderId="10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right"/>
    </xf>
    <xf numFmtId="0" fontId="6" fillId="2" borderId="9" xfId="0" applyFont="1" applyFill="1" applyBorder="1"/>
    <xf numFmtId="0" fontId="2" fillId="0" borderId="9" xfId="0" applyFont="1" applyBorder="1"/>
    <xf numFmtId="0" fontId="2" fillId="2" borderId="10" xfId="0" applyFont="1" applyFill="1" applyBorder="1"/>
    <xf numFmtId="0" fontId="4" fillId="2" borderId="10" xfId="0" applyFont="1" applyFill="1" applyBorder="1"/>
    <xf numFmtId="0" fontId="6" fillId="2" borderId="10" xfId="0" applyFont="1" applyFill="1" applyBorder="1"/>
    <xf numFmtId="0" fontId="2" fillId="0" borderId="10" xfId="0" applyFont="1" applyBorder="1"/>
    <xf numFmtId="0" fontId="4" fillId="2" borderId="10" xfId="0" applyFont="1" applyFill="1" applyBorder="1" applyAlignment="1">
      <alignment horizontal="right"/>
    </xf>
    <xf numFmtId="0" fontId="5" fillId="2" borderId="10" xfId="0" applyFont="1" applyFill="1" applyBorder="1"/>
    <xf numFmtId="0" fontId="7" fillId="2" borderId="10" xfId="0" applyFont="1" applyFill="1" applyBorder="1"/>
    <xf numFmtId="0" fontId="4" fillId="2" borderId="10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6" fillId="2" borderId="13" xfId="0" applyFont="1" applyFill="1" applyBorder="1"/>
    <xf numFmtId="0" fontId="4" fillId="2" borderId="13" xfId="0" applyFont="1" applyFill="1" applyBorder="1"/>
    <xf numFmtId="0" fontId="4" fillId="0" borderId="10" xfId="0" applyFont="1" applyBorder="1"/>
    <xf numFmtId="0" fontId="6" fillId="2" borderId="10" xfId="0" applyFont="1" applyFill="1" applyBorder="1" applyAlignment="1">
      <alignment horizontal="left" indent="2"/>
    </xf>
    <xf numFmtId="0" fontId="6" fillId="2" borderId="11" xfId="0" applyFont="1" applyFill="1" applyBorder="1" applyAlignment="1">
      <alignment horizontal="left" indent="2"/>
    </xf>
    <xf numFmtId="0" fontId="6" fillId="2" borderId="12" xfId="0" applyFont="1" applyFill="1" applyBorder="1" applyAlignment="1">
      <alignment horizontal="left" indent="2"/>
    </xf>
    <xf numFmtId="0" fontId="6" fillId="2" borderId="13" xfId="0" applyFont="1" applyFill="1" applyBorder="1" applyAlignment="1">
      <alignment horizontal="left" indent="2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2" borderId="11" xfId="0" applyFont="1" applyFill="1" applyBorder="1" applyAlignment="1">
      <alignment horizontal="left" indent="2"/>
    </xf>
    <xf numFmtId="0" fontId="4" fillId="2" borderId="12" xfId="0" applyFont="1" applyFill="1" applyBorder="1" applyAlignment="1">
      <alignment horizontal="left" indent="2"/>
    </xf>
    <xf numFmtId="0" fontId="4" fillId="2" borderId="13" xfId="0" applyFont="1" applyFill="1" applyBorder="1" applyAlignment="1">
      <alignment horizontal="left" indent="2"/>
    </xf>
    <xf numFmtId="0" fontId="4" fillId="2" borderId="11" xfId="0" applyFont="1" applyFill="1" applyBorder="1" applyAlignment="1">
      <alignment horizontal="right"/>
    </xf>
    <xf numFmtId="0" fontId="4" fillId="2" borderId="12" xfId="0" applyFont="1" applyFill="1" applyBorder="1" applyAlignment="1">
      <alignment horizontal="right"/>
    </xf>
    <xf numFmtId="0" fontId="4" fillId="2" borderId="13" xfId="0" applyFont="1" applyFill="1" applyBorder="1" applyAlignment="1">
      <alignment horizontal="right"/>
    </xf>
    <xf numFmtId="0" fontId="6" fillId="2" borderId="10" xfId="0" applyFont="1" applyFill="1" applyBorder="1" applyAlignment="1">
      <alignment horizontal="left" indent="1"/>
    </xf>
    <xf numFmtId="0" fontId="5" fillId="2" borderId="12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right"/>
    </xf>
    <xf numFmtId="0" fontId="5" fillId="2" borderId="12" xfId="0" applyFont="1" applyFill="1" applyBorder="1" applyAlignment="1">
      <alignment horizontal="right"/>
    </xf>
    <xf numFmtId="0" fontId="5" fillId="2" borderId="13" xfId="0" applyFont="1" applyFill="1" applyBorder="1" applyAlignment="1">
      <alignment horizontal="right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left" vertical="center" indent="2"/>
    </xf>
    <xf numFmtId="0" fontId="5" fillId="2" borderId="13" xfId="0" applyFont="1" applyFill="1" applyBorder="1" applyAlignment="1">
      <alignment horizontal="left" vertical="center" indent="2"/>
    </xf>
    <xf numFmtId="0" fontId="5" fillId="0" borderId="11" xfId="0" applyFont="1" applyBorder="1" applyAlignment="1">
      <alignment horizontal="left"/>
    </xf>
    <xf numFmtId="0" fontId="5" fillId="0" borderId="13" xfId="0" applyFont="1" applyBorder="1" applyAlignment="1">
      <alignment horizontal="left"/>
    </xf>
    <xf numFmtId="0" fontId="5" fillId="2" borderId="10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left" vertical="center" indent="2"/>
    </xf>
    <xf numFmtId="0" fontId="4" fillId="2" borderId="6" xfId="0" applyFont="1" applyFill="1" applyBorder="1" applyAlignment="1">
      <alignment horizontal="left" vertical="center" indent="2"/>
    </xf>
    <xf numFmtId="49" fontId="2" fillId="0" borderId="11" xfId="0" applyNumberFormat="1" applyFont="1" applyBorder="1" applyAlignment="1">
      <alignment horizontal="left" vertical="center"/>
    </xf>
    <xf numFmtId="49" fontId="2" fillId="0" borderId="12" xfId="0" applyNumberFormat="1" applyFont="1" applyBorder="1" applyAlignment="1">
      <alignment horizontal="left" vertical="center"/>
    </xf>
    <xf numFmtId="49" fontId="2" fillId="0" borderId="13" xfId="0" applyNumberFormat="1" applyFont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 indent="2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5" fillId="2" borderId="11" xfId="0" applyFont="1" applyFill="1" applyBorder="1" applyAlignment="1">
      <alignment horizontal="left" indent="2"/>
    </xf>
    <xf numFmtId="0" fontId="5" fillId="2" borderId="13" xfId="0" applyFont="1" applyFill="1" applyBorder="1" applyAlignment="1">
      <alignment horizontal="left" indent="2"/>
    </xf>
    <xf numFmtId="0" fontId="4" fillId="3" borderId="10" xfId="0" applyFont="1" applyFill="1" applyBorder="1" applyAlignment="1">
      <alignment horizontal="left" vertical="center" indent="2"/>
    </xf>
    <xf numFmtId="0" fontId="4" fillId="2" borderId="11" xfId="0" applyFont="1" applyFill="1" applyBorder="1" applyAlignment="1">
      <alignment horizontal="left" vertical="center" indent="2"/>
    </xf>
    <xf numFmtId="0" fontId="4" fillId="2" borderId="13" xfId="0" applyFont="1" applyFill="1" applyBorder="1" applyAlignment="1">
      <alignment horizontal="left" vertical="center" indent="2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15" fontId="2" fillId="0" borderId="11" xfId="0" applyNumberFormat="1" applyFont="1" applyBorder="1" applyAlignment="1">
      <alignment horizontal="left"/>
    </xf>
    <xf numFmtId="15" fontId="2" fillId="0" borderId="13" xfId="0" applyNumberFormat="1" applyFont="1" applyBorder="1" applyAlignment="1">
      <alignment horizontal="left"/>
    </xf>
    <xf numFmtId="15" fontId="2" fillId="0" borderId="11" xfId="0" applyNumberFormat="1" applyFont="1" applyBorder="1" applyAlignment="1">
      <alignment horizontal="left" vertical="center"/>
    </xf>
    <xf numFmtId="15" fontId="2" fillId="0" borderId="13" xfId="0" applyNumberFormat="1" applyFont="1" applyBorder="1" applyAlignment="1">
      <alignment horizontal="left" vertical="center"/>
    </xf>
    <xf numFmtId="0" fontId="2" fillId="0" borderId="14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285750</xdr:colOff>
      <xdr:row>31</xdr:row>
      <xdr:rowOff>57150</xdr:rowOff>
    </xdr:from>
    <xdr:to>
      <xdr:col>22</xdr:col>
      <xdr:colOff>447675</xdr:colOff>
      <xdr:row>34</xdr:row>
      <xdr:rowOff>183480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1A26A414-B55D-4079-BB62-0FBA34A98466}"/>
            </a:ext>
          </a:extLst>
        </xdr:cNvPr>
        <xdr:cNvSpPr txBox="1"/>
      </xdr:nvSpPr>
      <xdr:spPr>
        <a:xfrm>
          <a:off x="8039100" y="7839075"/>
          <a:ext cx="3609975" cy="878805"/>
        </a:xfrm>
        <a:prstGeom prst="rect">
          <a:avLst/>
        </a:prstGeom>
        <a:noFill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wrap="square" lIns="144000" tIns="108000" rIns="144000" bIns="108000" rtlCol="0"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 sz="800" b="1">
              <a:latin typeface="Book Antiqua" panose="02040602050305030304" pitchFamily="18" charset="0"/>
            </a:rPr>
            <a:t>Escala de calificación</a:t>
          </a:r>
        </a:p>
        <a:p>
          <a:r>
            <a:rPr lang="es-MX" sz="800" b="1">
              <a:latin typeface="Book Antiqua" panose="02040602050305030304" pitchFamily="18" charset="0"/>
            </a:rPr>
            <a:t>Pésimo     Malo     Pobre     Regular     Bien     Muy bien     Excelente</a:t>
          </a:r>
        </a:p>
        <a:p>
          <a:r>
            <a:rPr lang="es-MX" sz="800" b="1">
              <a:latin typeface="Book Antiqua" panose="02040602050305030304" pitchFamily="18" charset="0"/>
            </a:rPr>
            <a:t>     3               5             7                12           14              16                  17</a:t>
          </a:r>
        </a:p>
        <a:p>
          <a:endParaRPr lang="es-MX" sz="800" b="1">
            <a:latin typeface="Book Antiqua" panose="02040602050305030304" pitchFamily="18" charset="0"/>
          </a:endParaRPr>
        </a:p>
        <a:p>
          <a:r>
            <a:rPr lang="es-MX" sz="800" b="1">
              <a:latin typeface="Book Antiqua" panose="02040602050305030304" pitchFamily="18" charset="0"/>
            </a:rPr>
            <a:t>Por cada factor, escribir el número que corresponde a su apreciación.</a:t>
          </a:r>
        </a:p>
      </xdr:txBody>
    </xdr:sp>
    <xdr:clientData/>
  </xdr:twoCellAnchor>
  <xdr:twoCellAnchor>
    <xdr:from>
      <xdr:col>1</xdr:col>
      <xdr:colOff>161925</xdr:colOff>
      <xdr:row>1</xdr:row>
      <xdr:rowOff>114300</xdr:rowOff>
    </xdr:from>
    <xdr:to>
      <xdr:col>5</xdr:col>
      <xdr:colOff>47625</xdr:colOff>
      <xdr:row>2</xdr:row>
      <xdr:rowOff>133350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14B63EF1-9EE3-46FF-BE9C-80ADEAD8D5E6}"/>
            </a:ext>
          </a:extLst>
        </xdr:cNvPr>
        <xdr:cNvSpPr txBox="1"/>
      </xdr:nvSpPr>
      <xdr:spPr>
        <a:xfrm>
          <a:off x="923925" y="304800"/>
          <a:ext cx="1504950" cy="219075"/>
        </a:xfrm>
        <a:prstGeom prst="rect">
          <a:avLst/>
        </a:prstGeom>
        <a:solidFill>
          <a:srgbClr val="F2F2F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/>
            <a:t>Evaluador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285750</xdr:colOff>
      <xdr:row>31</xdr:row>
      <xdr:rowOff>57150</xdr:rowOff>
    </xdr:from>
    <xdr:to>
      <xdr:col>22</xdr:col>
      <xdr:colOff>447675</xdr:colOff>
      <xdr:row>34</xdr:row>
      <xdr:rowOff>183480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E2DA479-07DE-4BC7-B000-FE3823FC84EA}"/>
            </a:ext>
          </a:extLst>
        </xdr:cNvPr>
        <xdr:cNvSpPr txBox="1"/>
      </xdr:nvSpPr>
      <xdr:spPr>
        <a:xfrm>
          <a:off x="8039100" y="7829550"/>
          <a:ext cx="3609975" cy="878805"/>
        </a:xfrm>
        <a:prstGeom prst="rect">
          <a:avLst/>
        </a:prstGeom>
        <a:noFill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wrap="square" lIns="144000" tIns="108000" rIns="144000" bIns="108000" rtlCol="0"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 sz="800" b="1">
              <a:latin typeface="Book Antiqua" panose="02040602050305030304" pitchFamily="18" charset="0"/>
            </a:rPr>
            <a:t>Escala de calificación</a:t>
          </a:r>
        </a:p>
        <a:p>
          <a:r>
            <a:rPr lang="es-MX" sz="800" b="1">
              <a:latin typeface="Book Antiqua" panose="02040602050305030304" pitchFamily="18" charset="0"/>
            </a:rPr>
            <a:t>Pésimo     Malo     Pobre     Regular     Bien     Muy bien     Excelente</a:t>
          </a:r>
        </a:p>
        <a:p>
          <a:r>
            <a:rPr lang="es-MX" sz="800" b="1">
              <a:latin typeface="Book Antiqua" panose="02040602050305030304" pitchFamily="18" charset="0"/>
            </a:rPr>
            <a:t>     3               5             7                12           14              16                  17</a:t>
          </a:r>
        </a:p>
        <a:p>
          <a:endParaRPr lang="es-MX" sz="800" b="1">
            <a:latin typeface="Book Antiqua" panose="02040602050305030304" pitchFamily="18" charset="0"/>
          </a:endParaRPr>
        </a:p>
        <a:p>
          <a:r>
            <a:rPr lang="es-MX" sz="800" b="1">
              <a:latin typeface="Book Antiqua" panose="02040602050305030304" pitchFamily="18" charset="0"/>
            </a:rPr>
            <a:t>Por cada factor, escribir el número que corresponde a su apreciación.</a:t>
          </a:r>
        </a:p>
      </xdr:txBody>
    </xdr:sp>
    <xdr:clientData/>
  </xdr:twoCellAnchor>
  <xdr:twoCellAnchor>
    <xdr:from>
      <xdr:col>1</xdr:col>
      <xdr:colOff>161925</xdr:colOff>
      <xdr:row>1</xdr:row>
      <xdr:rowOff>114300</xdr:rowOff>
    </xdr:from>
    <xdr:to>
      <xdr:col>5</xdr:col>
      <xdr:colOff>47625</xdr:colOff>
      <xdr:row>2</xdr:row>
      <xdr:rowOff>133350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C7A8313D-94F4-48C2-A3E8-CA2972121E39}"/>
            </a:ext>
          </a:extLst>
        </xdr:cNvPr>
        <xdr:cNvSpPr txBox="1"/>
      </xdr:nvSpPr>
      <xdr:spPr>
        <a:xfrm>
          <a:off x="923925" y="304800"/>
          <a:ext cx="1504950" cy="219075"/>
        </a:xfrm>
        <a:prstGeom prst="rect">
          <a:avLst/>
        </a:prstGeom>
        <a:solidFill>
          <a:srgbClr val="F2F2F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/>
            <a:t>Evaluador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285750</xdr:colOff>
      <xdr:row>31</xdr:row>
      <xdr:rowOff>57150</xdr:rowOff>
    </xdr:from>
    <xdr:to>
      <xdr:col>22</xdr:col>
      <xdr:colOff>447675</xdr:colOff>
      <xdr:row>34</xdr:row>
      <xdr:rowOff>183480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47A99533-9ABA-496E-988D-EBE4EBB08647}"/>
            </a:ext>
          </a:extLst>
        </xdr:cNvPr>
        <xdr:cNvSpPr txBox="1"/>
      </xdr:nvSpPr>
      <xdr:spPr>
        <a:xfrm>
          <a:off x="8039100" y="7829550"/>
          <a:ext cx="3609975" cy="878805"/>
        </a:xfrm>
        <a:prstGeom prst="rect">
          <a:avLst/>
        </a:prstGeom>
        <a:noFill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wrap="square" lIns="144000" tIns="108000" rIns="144000" bIns="108000" rtlCol="0"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 sz="800" b="1">
              <a:latin typeface="Book Antiqua" panose="02040602050305030304" pitchFamily="18" charset="0"/>
            </a:rPr>
            <a:t>Escala de calificación</a:t>
          </a:r>
        </a:p>
        <a:p>
          <a:r>
            <a:rPr lang="es-MX" sz="800" b="1">
              <a:latin typeface="Book Antiqua" panose="02040602050305030304" pitchFamily="18" charset="0"/>
            </a:rPr>
            <a:t>Pésimo     Malo     Pobre     Regular     Bien     Muy bien     Excelente</a:t>
          </a:r>
        </a:p>
        <a:p>
          <a:r>
            <a:rPr lang="es-MX" sz="800" b="1">
              <a:latin typeface="Book Antiqua" panose="02040602050305030304" pitchFamily="18" charset="0"/>
            </a:rPr>
            <a:t>     3               5             7                12           14              16                  17</a:t>
          </a:r>
        </a:p>
        <a:p>
          <a:endParaRPr lang="es-MX" sz="800" b="1">
            <a:latin typeface="Book Antiqua" panose="02040602050305030304" pitchFamily="18" charset="0"/>
          </a:endParaRPr>
        </a:p>
        <a:p>
          <a:r>
            <a:rPr lang="es-MX" sz="800" b="1">
              <a:latin typeface="Book Antiqua" panose="02040602050305030304" pitchFamily="18" charset="0"/>
            </a:rPr>
            <a:t>Por cada factor, escribir el número que corresponde a su apreciación.</a:t>
          </a:r>
        </a:p>
      </xdr:txBody>
    </xdr:sp>
    <xdr:clientData/>
  </xdr:twoCellAnchor>
  <xdr:twoCellAnchor>
    <xdr:from>
      <xdr:col>1</xdr:col>
      <xdr:colOff>161925</xdr:colOff>
      <xdr:row>1</xdr:row>
      <xdr:rowOff>114300</xdr:rowOff>
    </xdr:from>
    <xdr:to>
      <xdr:col>5</xdr:col>
      <xdr:colOff>47625</xdr:colOff>
      <xdr:row>2</xdr:row>
      <xdr:rowOff>133350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56853C1C-DDEB-42F9-A844-5CA239B1CED6}"/>
            </a:ext>
          </a:extLst>
        </xdr:cNvPr>
        <xdr:cNvSpPr txBox="1"/>
      </xdr:nvSpPr>
      <xdr:spPr>
        <a:xfrm>
          <a:off x="923925" y="304800"/>
          <a:ext cx="1504950" cy="219075"/>
        </a:xfrm>
        <a:prstGeom prst="rect">
          <a:avLst/>
        </a:prstGeom>
        <a:solidFill>
          <a:srgbClr val="F2F2F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/>
            <a:t>Evaluador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285750</xdr:colOff>
      <xdr:row>31</xdr:row>
      <xdr:rowOff>57150</xdr:rowOff>
    </xdr:from>
    <xdr:to>
      <xdr:col>22</xdr:col>
      <xdr:colOff>447675</xdr:colOff>
      <xdr:row>34</xdr:row>
      <xdr:rowOff>183480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749C0B3-F43F-4119-A732-066C8CAD22D5}"/>
            </a:ext>
          </a:extLst>
        </xdr:cNvPr>
        <xdr:cNvSpPr txBox="1"/>
      </xdr:nvSpPr>
      <xdr:spPr>
        <a:xfrm>
          <a:off x="8039100" y="7829550"/>
          <a:ext cx="3609975" cy="878805"/>
        </a:xfrm>
        <a:prstGeom prst="rect">
          <a:avLst/>
        </a:prstGeom>
        <a:noFill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wrap="square" lIns="144000" tIns="108000" rIns="144000" bIns="108000" rtlCol="0"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 sz="800" b="1">
              <a:latin typeface="Book Antiqua" panose="02040602050305030304" pitchFamily="18" charset="0"/>
            </a:rPr>
            <a:t>Escala de calificación</a:t>
          </a:r>
        </a:p>
        <a:p>
          <a:r>
            <a:rPr lang="es-MX" sz="800" b="1">
              <a:latin typeface="Book Antiqua" panose="02040602050305030304" pitchFamily="18" charset="0"/>
            </a:rPr>
            <a:t>Pésimo     Malo     Pobre     Regular     Bien     Muy bien     Excelente</a:t>
          </a:r>
        </a:p>
        <a:p>
          <a:r>
            <a:rPr lang="es-MX" sz="800" b="1">
              <a:latin typeface="Book Antiqua" panose="02040602050305030304" pitchFamily="18" charset="0"/>
            </a:rPr>
            <a:t>     3               5             7                12           14              16                  17</a:t>
          </a:r>
        </a:p>
        <a:p>
          <a:endParaRPr lang="es-MX" sz="800" b="1">
            <a:latin typeface="Book Antiqua" panose="02040602050305030304" pitchFamily="18" charset="0"/>
          </a:endParaRPr>
        </a:p>
        <a:p>
          <a:r>
            <a:rPr lang="es-MX" sz="800" b="1">
              <a:latin typeface="Book Antiqua" panose="02040602050305030304" pitchFamily="18" charset="0"/>
            </a:rPr>
            <a:t>Por cada factor, escribir el número que corresponde a su apreciación.</a:t>
          </a:r>
        </a:p>
      </xdr:txBody>
    </xdr:sp>
    <xdr:clientData/>
  </xdr:twoCellAnchor>
  <xdr:twoCellAnchor>
    <xdr:from>
      <xdr:col>1</xdr:col>
      <xdr:colOff>161925</xdr:colOff>
      <xdr:row>1</xdr:row>
      <xdr:rowOff>114300</xdr:rowOff>
    </xdr:from>
    <xdr:to>
      <xdr:col>5</xdr:col>
      <xdr:colOff>47625</xdr:colOff>
      <xdr:row>2</xdr:row>
      <xdr:rowOff>133350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24C4D355-2708-4CAC-8E27-1F1F111A903E}"/>
            </a:ext>
          </a:extLst>
        </xdr:cNvPr>
        <xdr:cNvSpPr txBox="1"/>
      </xdr:nvSpPr>
      <xdr:spPr>
        <a:xfrm>
          <a:off x="923925" y="304800"/>
          <a:ext cx="1504950" cy="219075"/>
        </a:xfrm>
        <a:prstGeom prst="rect">
          <a:avLst/>
        </a:prstGeom>
        <a:solidFill>
          <a:srgbClr val="F2F2F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/>
            <a:t>Evaluador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E7AD0-72C3-416F-9198-1CA4A5DD9B94}">
  <dimension ref="B2:X35"/>
  <sheetViews>
    <sheetView topLeftCell="B14" workbookViewId="0">
      <selection activeCell="B29" sqref="B29"/>
    </sheetView>
  </sheetViews>
  <sheetFormatPr baseColWidth="10" defaultColWidth="11.3984375" defaultRowHeight="14.25" x14ac:dyDescent="0.45"/>
  <cols>
    <col min="1" max="1" width="11.3984375" style="1"/>
    <col min="2" max="2" width="7.1328125" style="1" customWidth="1"/>
    <col min="3" max="7" width="5.73046875" style="1" customWidth="1"/>
    <col min="8" max="8" width="7.73046875" style="1" customWidth="1"/>
    <col min="9" max="9" width="20.86328125" style="1" customWidth="1"/>
    <col min="10" max="10" width="7.73046875" style="1" customWidth="1"/>
    <col min="11" max="12" width="10.73046875" style="1" customWidth="1"/>
    <col min="13" max="19" width="5.73046875" style="1" customWidth="1"/>
    <col min="20" max="22" width="7.73046875" style="1" customWidth="1"/>
    <col min="23" max="24" width="10.73046875" style="1" customWidth="1"/>
    <col min="25" max="16384" width="11.3984375" style="1"/>
  </cols>
  <sheetData>
    <row r="2" spans="2:24" ht="15.75" x14ac:dyDescent="0.5">
      <c r="B2" s="61" t="s">
        <v>0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3"/>
    </row>
    <row r="3" spans="2:24" ht="15.75" x14ac:dyDescent="0.5">
      <c r="B3" s="64" t="s">
        <v>1</v>
      </c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6"/>
    </row>
    <row r="4" spans="2:24" ht="15.75" x14ac:dyDescent="0.5">
      <c r="B4" s="67" t="s">
        <v>2</v>
      </c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9"/>
    </row>
    <row r="5" spans="2:24" ht="18" x14ac:dyDescent="0.55000000000000004">
      <c r="B5" s="2"/>
      <c r="C5" s="2"/>
      <c r="D5" s="2"/>
      <c r="E5" s="2"/>
      <c r="F5" s="2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4"/>
    </row>
    <row r="6" spans="2:24" ht="40.700000000000003" customHeight="1" x14ac:dyDescent="0.45">
      <c r="B6" s="70" t="s">
        <v>3</v>
      </c>
      <c r="C6" s="70"/>
      <c r="D6" s="70"/>
      <c r="E6" s="70"/>
      <c r="F6" s="71"/>
      <c r="G6" s="72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4"/>
    </row>
    <row r="7" spans="2:24" ht="20.100000000000001" customHeight="1" x14ac:dyDescent="0.45">
      <c r="B7" s="75" t="s">
        <v>4</v>
      </c>
      <c r="C7" s="75"/>
      <c r="D7" s="75"/>
      <c r="E7" s="75"/>
      <c r="F7" s="75"/>
      <c r="G7" s="76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8"/>
      <c r="T7" s="79"/>
      <c r="U7" s="58" t="s">
        <v>5</v>
      </c>
      <c r="V7" s="60"/>
      <c r="W7" s="76"/>
      <c r="X7" s="78"/>
    </row>
    <row r="8" spans="2:24" ht="20.100000000000001" customHeight="1" x14ac:dyDescent="0.45">
      <c r="B8" s="75" t="s">
        <v>6</v>
      </c>
      <c r="C8" s="75"/>
      <c r="D8" s="75"/>
      <c r="E8" s="75"/>
      <c r="F8" s="75"/>
      <c r="G8" s="81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3"/>
      <c r="T8" s="79"/>
      <c r="U8" s="84" t="s">
        <v>7</v>
      </c>
      <c r="V8" s="85"/>
      <c r="W8" s="81"/>
      <c r="X8" s="83"/>
    </row>
    <row r="9" spans="2:24" ht="20.100000000000001" customHeight="1" x14ac:dyDescent="0.45">
      <c r="B9" s="86" t="s">
        <v>8</v>
      </c>
      <c r="C9" s="86"/>
      <c r="D9" s="86"/>
      <c r="E9" s="86"/>
      <c r="F9" s="86"/>
      <c r="G9" s="81"/>
      <c r="H9" s="82"/>
      <c r="I9" s="82"/>
      <c r="J9" s="6"/>
      <c r="K9" s="7" t="s">
        <v>9</v>
      </c>
      <c r="L9" s="82"/>
      <c r="M9" s="82"/>
      <c r="N9" s="82"/>
      <c r="O9" s="82"/>
      <c r="P9" s="82"/>
      <c r="Q9" s="82"/>
      <c r="R9" s="82"/>
      <c r="S9" s="83"/>
      <c r="T9" s="79"/>
      <c r="U9" s="87" t="s">
        <v>10</v>
      </c>
      <c r="V9" s="88"/>
      <c r="W9" s="72"/>
      <c r="X9" s="74"/>
    </row>
    <row r="10" spans="2:24" ht="36" customHeight="1" x14ac:dyDescent="0.45">
      <c r="B10" s="75" t="s">
        <v>11</v>
      </c>
      <c r="C10" s="75"/>
      <c r="D10" s="75"/>
      <c r="E10" s="75"/>
      <c r="F10" s="75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0"/>
      <c r="U10" s="53" t="s">
        <v>12</v>
      </c>
      <c r="V10" s="54"/>
      <c r="W10" s="55"/>
      <c r="X10" s="56"/>
    </row>
    <row r="13" spans="2:24" ht="20.100000000000001" customHeight="1" x14ac:dyDescent="0.45">
      <c r="B13" s="52" t="s">
        <v>13</v>
      </c>
      <c r="C13" s="52"/>
      <c r="D13" s="52"/>
      <c r="E13" s="52"/>
      <c r="F13" s="52"/>
      <c r="G13" s="52"/>
      <c r="H13" s="52"/>
      <c r="I13" s="52"/>
      <c r="J13" s="52"/>
      <c r="K13" s="52"/>
      <c r="L13" s="52"/>
      <c r="N13" s="52" t="s">
        <v>14</v>
      </c>
      <c r="O13" s="52"/>
      <c r="P13" s="52"/>
      <c r="Q13" s="52"/>
      <c r="R13" s="52"/>
      <c r="S13" s="52"/>
      <c r="T13" s="52"/>
      <c r="U13" s="52"/>
      <c r="V13" s="52"/>
      <c r="W13" s="52"/>
      <c r="X13" s="52"/>
    </row>
    <row r="14" spans="2:24" ht="20.100000000000001" customHeight="1" x14ac:dyDescent="0.45">
      <c r="B14" s="8" t="s">
        <v>15</v>
      </c>
      <c r="C14" s="57" t="s">
        <v>16</v>
      </c>
      <c r="D14" s="57"/>
      <c r="E14" s="57"/>
      <c r="F14" s="57"/>
      <c r="G14" s="57"/>
      <c r="H14" s="57"/>
      <c r="I14" s="57"/>
      <c r="J14" s="8" t="s">
        <v>17</v>
      </c>
      <c r="K14" s="8" t="s">
        <v>18</v>
      </c>
      <c r="L14" s="8" t="s">
        <v>19</v>
      </c>
      <c r="N14" s="9" t="s">
        <v>15</v>
      </c>
      <c r="O14" s="58" t="s">
        <v>16</v>
      </c>
      <c r="P14" s="59"/>
      <c r="Q14" s="59"/>
      <c r="R14" s="59"/>
      <c r="S14" s="59"/>
      <c r="T14" s="59"/>
      <c r="U14" s="60"/>
      <c r="V14" s="9" t="s">
        <v>17</v>
      </c>
      <c r="W14" s="9" t="s">
        <v>18</v>
      </c>
      <c r="X14" s="8" t="s">
        <v>19</v>
      </c>
    </row>
    <row r="15" spans="2:24" ht="20.100000000000001" customHeight="1" x14ac:dyDescent="0.45">
      <c r="B15" s="10">
        <v>1</v>
      </c>
      <c r="C15" s="44" t="s">
        <v>20</v>
      </c>
      <c r="D15" s="44"/>
      <c r="E15" s="44"/>
      <c r="F15" s="44"/>
      <c r="G15" s="44"/>
      <c r="H15" s="44"/>
      <c r="I15" s="44"/>
      <c r="J15" s="11">
        <v>40</v>
      </c>
      <c r="K15" s="12"/>
      <c r="L15" s="13">
        <f>ROUND(K15/17*J15,0)</f>
        <v>0</v>
      </c>
      <c r="N15" s="14">
        <v>7</v>
      </c>
      <c r="O15" s="25" t="s">
        <v>21</v>
      </c>
      <c r="P15" s="25"/>
      <c r="Q15" s="25"/>
      <c r="R15" s="25"/>
      <c r="S15" s="25"/>
      <c r="T15" s="25"/>
      <c r="U15" s="25"/>
      <c r="V15" s="15">
        <v>30</v>
      </c>
      <c r="W15" s="16"/>
      <c r="X15" s="13">
        <f>ROUND(W15/17*V15,0)</f>
        <v>0</v>
      </c>
    </row>
    <row r="16" spans="2:24" ht="20.100000000000001" customHeight="1" x14ac:dyDescent="0.45">
      <c r="B16" s="17">
        <v>2</v>
      </c>
      <c r="C16" s="44" t="s">
        <v>22</v>
      </c>
      <c r="D16" s="44"/>
      <c r="E16" s="44"/>
      <c r="F16" s="44"/>
      <c r="G16" s="44"/>
      <c r="H16" s="44"/>
      <c r="I16" s="44"/>
      <c r="J16" s="15">
        <v>10</v>
      </c>
      <c r="K16" s="12"/>
      <c r="L16" s="13">
        <f t="shared" ref="L16:L21" si="0">ROUND(K16/17*J16,0)</f>
        <v>0</v>
      </c>
      <c r="N16" s="14">
        <v>8</v>
      </c>
      <c r="O16" s="25" t="s">
        <v>23</v>
      </c>
      <c r="P16" s="25"/>
      <c r="Q16" s="25"/>
      <c r="R16" s="25"/>
      <c r="S16" s="25"/>
      <c r="T16" s="25"/>
      <c r="U16" s="25"/>
      <c r="V16" s="15">
        <v>30</v>
      </c>
      <c r="W16" s="16"/>
      <c r="X16" s="13">
        <f t="shared" ref="X16:X18" si="1">ROUND(W16/17*V16,0)</f>
        <v>0</v>
      </c>
    </row>
    <row r="17" spans="2:24" ht="20.100000000000001" customHeight="1" x14ac:dyDescent="0.45">
      <c r="B17" s="17">
        <v>3</v>
      </c>
      <c r="C17" s="44" t="s">
        <v>24</v>
      </c>
      <c r="D17" s="44"/>
      <c r="E17" s="44"/>
      <c r="F17" s="44"/>
      <c r="G17" s="44"/>
      <c r="H17" s="44"/>
      <c r="I17" s="44"/>
      <c r="J17" s="15">
        <v>20</v>
      </c>
      <c r="K17" s="12"/>
      <c r="L17" s="13">
        <f t="shared" si="0"/>
        <v>0</v>
      </c>
      <c r="N17" s="14">
        <v>9</v>
      </c>
      <c r="O17" s="25" t="s">
        <v>25</v>
      </c>
      <c r="P17" s="25"/>
      <c r="Q17" s="25"/>
      <c r="R17" s="25"/>
      <c r="S17" s="25"/>
      <c r="T17" s="25"/>
      <c r="U17" s="25"/>
      <c r="V17" s="15">
        <v>30</v>
      </c>
      <c r="W17" s="16"/>
      <c r="X17" s="13">
        <f t="shared" si="1"/>
        <v>0</v>
      </c>
    </row>
    <row r="18" spans="2:24" ht="20.100000000000001" customHeight="1" x14ac:dyDescent="0.45">
      <c r="B18" s="17">
        <v>4</v>
      </c>
      <c r="C18" s="44" t="s">
        <v>26</v>
      </c>
      <c r="D18" s="44"/>
      <c r="E18" s="44"/>
      <c r="F18" s="44"/>
      <c r="G18" s="44"/>
      <c r="H18" s="44"/>
      <c r="I18" s="44"/>
      <c r="J18" s="15">
        <v>20</v>
      </c>
      <c r="K18" s="12"/>
      <c r="L18" s="13">
        <f t="shared" si="0"/>
        <v>0</v>
      </c>
      <c r="N18" s="14">
        <v>10</v>
      </c>
      <c r="O18" s="25" t="s">
        <v>27</v>
      </c>
      <c r="P18" s="25"/>
      <c r="Q18" s="25"/>
      <c r="R18" s="25"/>
      <c r="S18" s="25"/>
      <c r="T18" s="25"/>
      <c r="U18" s="25"/>
      <c r="V18" s="15">
        <v>60</v>
      </c>
      <c r="W18" s="16"/>
      <c r="X18" s="13">
        <f t="shared" si="1"/>
        <v>0</v>
      </c>
    </row>
    <row r="19" spans="2:24" ht="20.100000000000001" customHeight="1" x14ac:dyDescent="0.45">
      <c r="B19" s="17">
        <v>5</v>
      </c>
      <c r="C19" s="44" t="s">
        <v>48</v>
      </c>
      <c r="D19" s="44"/>
      <c r="E19" s="44"/>
      <c r="F19" s="44"/>
      <c r="G19" s="44"/>
      <c r="H19" s="44"/>
      <c r="I19" s="44"/>
      <c r="J19" s="15">
        <v>20</v>
      </c>
      <c r="K19" s="12"/>
      <c r="L19" s="13">
        <f t="shared" si="0"/>
        <v>0</v>
      </c>
      <c r="N19" s="46" t="s">
        <v>28</v>
      </c>
      <c r="O19" s="47"/>
      <c r="P19" s="47"/>
      <c r="Q19" s="47"/>
      <c r="R19" s="47"/>
      <c r="S19" s="47"/>
      <c r="T19" s="47"/>
      <c r="U19" s="48"/>
      <c r="V19" s="18">
        <f>SUM(V15:V18)</f>
        <v>150</v>
      </c>
      <c r="W19" s="13">
        <f>ROUND((W15*V15+W16*V16+W17*V17+W18*V18)/V19, 0)</f>
        <v>0</v>
      </c>
      <c r="X19" s="13">
        <f>ROUND(W19/17*V19,0)</f>
        <v>0</v>
      </c>
    </row>
    <row r="20" spans="2:24" ht="20.100000000000001" customHeight="1" x14ac:dyDescent="0.45">
      <c r="B20" s="17">
        <v>6</v>
      </c>
      <c r="C20" s="44" t="s">
        <v>49</v>
      </c>
      <c r="D20" s="44"/>
      <c r="E20" s="44"/>
      <c r="F20" s="44"/>
      <c r="G20" s="44"/>
      <c r="H20" s="44"/>
      <c r="I20" s="44"/>
      <c r="J20" s="15">
        <v>50</v>
      </c>
      <c r="K20" s="12"/>
      <c r="L20" s="13">
        <f t="shared" si="0"/>
        <v>0</v>
      </c>
    </row>
    <row r="21" spans="2:24" ht="20.100000000000001" customHeight="1" x14ac:dyDescent="0.45">
      <c r="B21" s="41" t="s">
        <v>28</v>
      </c>
      <c r="C21" s="42"/>
      <c r="D21" s="42"/>
      <c r="E21" s="42"/>
      <c r="F21" s="42"/>
      <c r="G21" s="42"/>
      <c r="H21" s="42"/>
      <c r="I21" s="43"/>
      <c r="J21" s="14">
        <f>SUM(J15:J20)</f>
        <v>160</v>
      </c>
      <c r="K21" s="19">
        <f>ROUND((K15*J15+K16*J16+K17*J17+K18*J18+K19*J19+K20*J20)/J21, 0)</f>
        <v>0</v>
      </c>
      <c r="L21" s="13">
        <f t="shared" si="0"/>
        <v>0</v>
      </c>
    </row>
    <row r="22" spans="2:24" ht="20.100000000000001" customHeight="1" x14ac:dyDescent="0.45">
      <c r="N22" s="49" t="s">
        <v>30</v>
      </c>
      <c r="O22" s="50"/>
      <c r="P22" s="50"/>
      <c r="Q22" s="50"/>
      <c r="R22" s="50"/>
      <c r="S22" s="50"/>
      <c r="T22" s="50"/>
      <c r="U22" s="50"/>
      <c r="V22" s="50"/>
      <c r="W22" s="50"/>
      <c r="X22" s="51"/>
    </row>
    <row r="23" spans="2:24" ht="20.100000000000001" customHeight="1" x14ac:dyDescent="0.45">
      <c r="B23" s="52" t="s">
        <v>31</v>
      </c>
      <c r="C23" s="52"/>
      <c r="D23" s="52"/>
      <c r="E23" s="52"/>
      <c r="F23" s="52"/>
      <c r="G23" s="52"/>
      <c r="H23" s="52"/>
      <c r="I23" s="52"/>
      <c r="J23" s="52"/>
      <c r="K23" s="52"/>
      <c r="L23" s="52"/>
      <c r="N23" s="20" t="s">
        <v>15</v>
      </c>
      <c r="O23" s="32" t="s">
        <v>32</v>
      </c>
      <c r="P23" s="33"/>
      <c r="Q23" s="33"/>
      <c r="R23" s="33"/>
      <c r="S23" s="33"/>
      <c r="T23" s="33"/>
      <c r="U23" s="34"/>
      <c r="V23" s="21" t="s">
        <v>17</v>
      </c>
      <c r="W23" s="9" t="s">
        <v>18</v>
      </c>
      <c r="X23" s="20" t="s">
        <v>19</v>
      </c>
    </row>
    <row r="24" spans="2:24" ht="20.100000000000001" customHeight="1" x14ac:dyDescent="0.45">
      <c r="B24" s="8" t="s">
        <v>15</v>
      </c>
      <c r="C24" s="35" t="s">
        <v>16</v>
      </c>
      <c r="D24" s="45"/>
      <c r="E24" s="45"/>
      <c r="F24" s="45"/>
      <c r="G24" s="45"/>
      <c r="H24" s="45"/>
      <c r="I24" s="36"/>
      <c r="J24" s="5" t="s">
        <v>17</v>
      </c>
      <c r="K24" s="8" t="s">
        <v>18</v>
      </c>
      <c r="L24" s="8" t="s">
        <v>19</v>
      </c>
      <c r="N24" s="18">
        <v>16</v>
      </c>
      <c r="O24" s="26" t="s">
        <v>33</v>
      </c>
      <c r="P24" s="27"/>
      <c r="Q24" s="27"/>
      <c r="R24" s="27"/>
      <c r="S24" s="27"/>
      <c r="T24" s="27"/>
      <c r="U24" s="28"/>
      <c r="V24" s="22">
        <v>70</v>
      </c>
      <c r="W24" s="16"/>
      <c r="X24" s="13">
        <f>ROUND(W24/17*V24, 0)</f>
        <v>0</v>
      </c>
    </row>
    <row r="25" spans="2:24" ht="20.100000000000001" customHeight="1" x14ac:dyDescent="0.45">
      <c r="B25" s="14">
        <v>11</v>
      </c>
      <c r="C25" s="25" t="s">
        <v>34</v>
      </c>
      <c r="D25" s="25"/>
      <c r="E25" s="25"/>
      <c r="F25" s="25"/>
      <c r="G25" s="25"/>
      <c r="H25" s="25"/>
      <c r="I25" s="25"/>
      <c r="J25" s="15">
        <v>70</v>
      </c>
      <c r="K25" s="16"/>
      <c r="L25" s="13">
        <f>ROUND(K25/17*J25,0)</f>
        <v>0</v>
      </c>
      <c r="N25" s="18">
        <v>17</v>
      </c>
      <c r="O25" s="26" t="s">
        <v>35</v>
      </c>
      <c r="P25" s="27"/>
      <c r="Q25" s="27"/>
      <c r="R25" s="27"/>
      <c r="S25" s="27"/>
      <c r="T25" s="27"/>
      <c r="U25" s="28"/>
      <c r="V25" s="22">
        <v>50</v>
      </c>
      <c r="W25" s="16"/>
      <c r="X25" s="13">
        <f t="shared" ref="X25:X28" si="2">ROUND(W25/17*V25, 0)</f>
        <v>0</v>
      </c>
    </row>
    <row r="26" spans="2:24" ht="20.100000000000001" customHeight="1" x14ac:dyDescent="0.45">
      <c r="B26" s="14">
        <v>12</v>
      </c>
      <c r="C26" s="25" t="s">
        <v>36</v>
      </c>
      <c r="D26" s="25"/>
      <c r="E26" s="25"/>
      <c r="F26" s="25"/>
      <c r="G26" s="25"/>
      <c r="H26" s="25"/>
      <c r="I26" s="25"/>
      <c r="J26" s="15">
        <v>70</v>
      </c>
      <c r="K26" s="16"/>
      <c r="L26" s="13">
        <f t="shared" ref="L26:L28" si="3">ROUND(K26/17*J26,0)</f>
        <v>0</v>
      </c>
      <c r="N26" s="18">
        <v>18</v>
      </c>
      <c r="O26" s="26" t="s">
        <v>37</v>
      </c>
      <c r="P26" s="27"/>
      <c r="Q26" s="27"/>
      <c r="R26" s="27"/>
      <c r="S26" s="27"/>
      <c r="T26" s="27"/>
      <c r="U26" s="28"/>
      <c r="V26" s="22">
        <v>50</v>
      </c>
      <c r="W26" s="16"/>
      <c r="X26" s="13">
        <f t="shared" si="2"/>
        <v>0</v>
      </c>
    </row>
    <row r="27" spans="2:24" ht="20.100000000000001" customHeight="1" x14ac:dyDescent="0.45">
      <c r="B27" s="14">
        <v>13</v>
      </c>
      <c r="C27" s="25" t="s">
        <v>38</v>
      </c>
      <c r="D27" s="25"/>
      <c r="E27" s="25"/>
      <c r="F27" s="25"/>
      <c r="G27" s="25"/>
      <c r="H27" s="25"/>
      <c r="I27" s="25"/>
      <c r="J27" s="15">
        <v>70</v>
      </c>
      <c r="K27" s="16"/>
      <c r="L27" s="13">
        <f t="shared" si="3"/>
        <v>0</v>
      </c>
      <c r="N27" s="18">
        <v>19</v>
      </c>
      <c r="O27" s="26" t="s">
        <v>39</v>
      </c>
      <c r="P27" s="27"/>
      <c r="Q27" s="27"/>
      <c r="R27" s="27"/>
      <c r="S27" s="27"/>
      <c r="T27" s="27"/>
      <c r="U27" s="28"/>
      <c r="V27" s="22">
        <v>70</v>
      </c>
      <c r="W27" s="16"/>
      <c r="X27" s="13">
        <f t="shared" si="2"/>
        <v>0</v>
      </c>
    </row>
    <row r="28" spans="2:24" ht="20.100000000000001" customHeight="1" x14ac:dyDescent="0.45">
      <c r="B28" s="14">
        <v>14</v>
      </c>
      <c r="C28" s="25" t="s">
        <v>40</v>
      </c>
      <c r="D28" s="25"/>
      <c r="E28" s="25"/>
      <c r="F28" s="25"/>
      <c r="G28" s="25"/>
      <c r="H28" s="25"/>
      <c r="I28" s="25"/>
      <c r="J28" s="15">
        <v>70</v>
      </c>
      <c r="K28" s="16"/>
      <c r="L28" s="13">
        <f t="shared" si="3"/>
        <v>0</v>
      </c>
      <c r="N28" s="18">
        <v>20</v>
      </c>
      <c r="O28" s="26" t="s">
        <v>41</v>
      </c>
      <c r="P28" s="27"/>
      <c r="Q28" s="27"/>
      <c r="R28" s="27"/>
      <c r="S28" s="27"/>
      <c r="T28" s="27"/>
      <c r="U28" s="28"/>
      <c r="V28" s="22">
        <v>50</v>
      </c>
      <c r="W28" s="16"/>
      <c r="X28" s="13">
        <f t="shared" si="2"/>
        <v>0</v>
      </c>
    </row>
    <row r="29" spans="2:24" ht="20.100000000000001" customHeight="1" x14ac:dyDescent="0.45">
      <c r="B29" s="14">
        <v>15</v>
      </c>
      <c r="C29" s="38" t="s">
        <v>42</v>
      </c>
      <c r="D29" s="39"/>
      <c r="E29" s="39"/>
      <c r="F29" s="39"/>
      <c r="G29" s="39"/>
      <c r="H29" s="39"/>
      <c r="I29" s="40"/>
      <c r="J29" s="23">
        <v>70</v>
      </c>
      <c r="K29" s="16"/>
      <c r="L29" s="13">
        <f>L30-SUM(L25:L28)</f>
        <v>0</v>
      </c>
      <c r="N29" s="18">
        <v>21</v>
      </c>
      <c r="O29" s="26" t="s">
        <v>43</v>
      </c>
      <c r="P29" s="27"/>
      <c r="Q29" s="27"/>
      <c r="R29" s="27"/>
      <c r="S29" s="27"/>
      <c r="T29" s="27"/>
      <c r="U29" s="28"/>
      <c r="V29" s="22">
        <v>50</v>
      </c>
      <c r="W29" s="16"/>
      <c r="X29" s="13">
        <f>X30-SUM(X24:X28)</f>
        <v>0</v>
      </c>
    </row>
    <row r="30" spans="2:24" ht="20.100000000000001" customHeight="1" x14ac:dyDescent="0.45">
      <c r="B30" s="41" t="s">
        <v>28</v>
      </c>
      <c r="C30" s="42"/>
      <c r="D30" s="42"/>
      <c r="E30" s="42"/>
      <c r="F30" s="42"/>
      <c r="G30" s="42"/>
      <c r="H30" s="42"/>
      <c r="I30" s="43"/>
      <c r="J30" s="14">
        <f>SUM(J25:J29)</f>
        <v>350</v>
      </c>
      <c r="K30" s="13">
        <f>ROUND((K25*J25+K26*J26+K27*J27+K28*J28+K29*J29)/J30, 0)</f>
        <v>0</v>
      </c>
      <c r="L30" s="13">
        <f>ROUND(K30/17*J30,0)</f>
        <v>0</v>
      </c>
      <c r="N30" s="41" t="s">
        <v>28</v>
      </c>
      <c r="O30" s="42"/>
      <c r="P30" s="42"/>
      <c r="Q30" s="42"/>
      <c r="R30" s="42"/>
      <c r="S30" s="42"/>
      <c r="T30" s="42"/>
      <c r="U30" s="43"/>
      <c r="V30" s="14">
        <f>SUM(V24:V29)</f>
        <v>340</v>
      </c>
      <c r="W30" s="19">
        <f>ROUND((W24*V24+W25*V25+W26*V26+W27*V27+W28*V28+W29*V29)/V30, 0)</f>
        <v>0</v>
      </c>
      <c r="X30" s="19">
        <f>ROUND(W30/17*V30,0)</f>
        <v>0</v>
      </c>
    </row>
    <row r="33" spans="2:14" ht="20.100000000000001" customHeight="1" x14ac:dyDescent="0.45"/>
    <row r="34" spans="2:14" ht="24.95" customHeight="1" x14ac:dyDescent="0.45">
      <c r="B34" s="29" t="s">
        <v>44</v>
      </c>
      <c r="C34" s="30"/>
      <c r="D34" s="30"/>
      <c r="E34" s="30"/>
      <c r="F34" s="30"/>
      <c r="G34" s="30"/>
      <c r="H34" s="30"/>
      <c r="I34" s="31"/>
      <c r="J34" s="8" t="s">
        <v>17</v>
      </c>
      <c r="K34" s="8" t="s">
        <v>19</v>
      </c>
      <c r="L34" s="8" t="s">
        <v>18</v>
      </c>
      <c r="M34" s="35" t="s">
        <v>45</v>
      </c>
      <c r="N34" s="36"/>
    </row>
    <row r="35" spans="2:14" x14ac:dyDescent="0.45">
      <c r="B35" s="32"/>
      <c r="C35" s="33"/>
      <c r="D35" s="33"/>
      <c r="E35" s="33"/>
      <c r="F35" s="33"/>
      <c r="G35" s="33"/>
      <c r="H35" s="33"/>
      <c r="I35" s="34"/>
      <c r="J35" s="24">
        <f>SUM(J30,V30,V19,J21)</f>
        <v>1000</v>
      </c>
      <c r="K35" s="24">
        <f>X30+L30+X19+L21</f>
        <v>0</v>
      </c>
      <c r="L35" s="24">
        <f>ROUND(K35/10, 0)</f>
        <v>0</v>
      </c>
      <c r="M35" s="37">
        <f>ROUND(K35/J35*17,0)</f>
        <v>0</v>
      </c>
      <c r="N35" s="37"/>
    </row>
  </sheetData>
  <mergeCells count="59">
    <mergeCell ref="B7:F7"/>
    <mergeCell ref="G7:S7"/>
    <mergeCell ref="T7:T10"/>
    <mergeCell ref="U7:V7"/>
    <mergeCell ref="W7:X7"/>
    <mergeCell ref="B8:F8"/>
    <mergeCell ref="G8:S8"/>
    <mergeCell ref="U8:V8"/>
    <mergeCell ref="W8:X8"/>
    <mergeCell ref="B9:F9"/>
    <mergeCell ref="G9:I9"/>
    <mergeCell ref="L9:S9"/>
    <mergeCell ref="U9:V9"/>
    <mergeCell ref="W9:X9"/>
    <mergeCell ref="B10:F10"/>
    <mergeCell ref="G10:S10"/>
    <mergeCell ref="B2:X2"/>
    <mergeCell ref="B3:X3"/>
    <mergeCell ref="B4:X4"/>
    <mergeCell ref="B6:F6"/>
    <mergeCell ref="G6:X6"/>
    <mergeCell ref="U10:V10"/>
    <mergeCell ref="W10:X10"/>
    <mergeCell ref="B13:L13"/>
    <mergeCell ref="N13:X13"/>
    <mergeCell ref="C14:I14"/>
    <mergeCell ref="O14:U14"/>
    <mergeCell ref="C15:I15"/>
    <mergeCell ref="O15:U15"/>
    <mergeCell ref="C16:I16"/>
    <mergeCell ref="O16:U16"/>
    <mergeCell ref="C24:I24"/>
    <mergeCell ref="O24:U24"/>
    <mergeCell ref="C17:I17"/>
    <mergeCell ref="O17:U17"/>
    <mergeCell ref="C18:I18"/>
    <mergeCell ref="O18:U18"/>
    <mergeCell ref="C19:I19"/>
    <mergeCell ref="N19:U19"/>
    <mergeCell ref="C20:I20"/>
    <mergeCell ref="B21:I21"/>
    <mergeCell ref="N22:X22"/>
    <mergeCell ref="B23:L23"/>
    <mergeCell ref="O23:U23"/>
    <mergeCell ref="C25:I25"/>
    <mergeCell ref="O25:U25"/>
    <mergeCell ref="C26:I26"/>
    <mergeCell ref="O26:U26"/>
    <mergeCell ref="C27:I27"/>
    <mergeCell ref="O27:U27"/>
    <mergeCell ref="B34:I35"/>
    <mergeCell ref="M34:N34"/>
    <mergeCell ref="M35:N35"/>
    <mergeCell ref="C28:I28"/>
    <mergeCell ref="O28:U28"/>
    <mergeCell ref="C29:I29"/>
    <mergeCell ref="O29:U29"/>
    <mergeCell ref="B30:I30"/>
    <mergeCell ref="N30:U3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23AE6-95C0-4917-9A58-F818BBDB8DC6}">
  <dimension ref="B2:X35"/>
  <sheetViews>
    <sheetView topLeftCell="B13" workbookViewId="0">
      <selection activeCell="C24" sqref="C24:I24"/>
    </sheetView>
  </sheetViews>
  <sheetFormatPr baseColWidth="10" defaultColWidth="11.3984375" defaultRowHeight="14.25" x14ac:dyDescent="0.45"/>
  <cols>
    <col min="1" max="1" width="11.3984375" style="1"/>
    <col min="2" max="2" width="7.1328125" style="1" customWidth="1"/>
    <col min="3" max="7" width="5.73046875" style="1" customWidth="1"/>
    <col min="8" max="8" width="7.73046875" style="1" customWidth="1"/>
    <col min="9" max="9" width="20.86328125" style="1" customWidth="1"/>
    <col min="10" max="10" width="7.73046875" style="1" customWidth="1"/>
    <col min="11" max="12" width="10.73046875" style="1" customWidth="1"/>
    <col min="13" max="19" width="5.73046875" style="1" customWidth="1"/>
    <col min="20" max="22" width="7.73046875" style="1" customWidth="1"/>
    <col min="23" max="24" width="10.73046875" style="1" customWidth="1"/>
    <col min="25" max="16384" width="11.3984375" style="1"/>
  </cols>
  <sheetData>
    <row r="2" spans="2:24" ht="15.75" x14ac:dyDescent="0.5">
      <c r="B2" s="61" t="s">
        <v>0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3"/>
    </row>
    <row r="3" spans="2:24" ht="15.75" x14ac:dyDescent="0.5">
      <c r="B3" s="64" t="s">
        <v>1</v>
      </c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6"/>
    </row>
    <row r="4" spans="2:24" ht="15.75" x14ac:dyDescent="0.5">
      <c r="B4" s="67" t="s">
        <v>2</v>
      </c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9"/>
    </row>
    <row r="5" spans="2:24" ht="18" x14ac:dyDescent="0.55000000000000004">
      <c r="B5" s="2"/>
      <c r="C5" s="2"/>
      <c r="D5" s="2"/>
      <c r="E5" s="2"/>
      <c r="F5" s="2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4"/>
    </row>
    <row r="6" spans="2:24" ht="40.700000000000003" customHeight="1" x14ac:dyDescent="0.45">
      <c r="B6" s="70" t="s">
        <v>3</v>
      </c>
      <c r="C6" s="70"/>
      <c r="D6" s="70"/>
      <c r="E6" s="70"/>
      <c r="F6" s="71"/>
      <c r="G6" s="90" t="str">
        <f>_xlfn.CONCAT('Evaluador 1'!G6:X6, "")</f>
        <v/>
      </c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2"/>
    </row>
    <row r="7" spans="2:24" ht="20.100000000000001" customHeight="1" x14ac:dyDescent="0.45">
      <c r="B7" s="75" t="s">
        <v>4</v>
      </c>
      <c r="C7" s="75"/>
      <c r="D7" s="75"/>
      <c r="E7" s="75"/>
      <c r="F7" s="75"/>
      <c r="G7" s="93" t="str">
        <f>_xlfn.CONCAT('Evaluador 1'!G7:S7, "")</f>
        <v/>
      </c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5"/>
      <c r="T7" s="79"/>
      <c r="U7" s="58" t="s">
        <v>5</v>
      </c>
      <c r="V7" s="60"/>
      <c r="W7" s="93" t="str">
        <f>_xlfn.CONCAT('Evaluador 1'!W7:X7, "")</f>
        <v/>
      </c>
      <c r="X7" s="95"/>
    </row>
    <row r="8" spans="2:24" ht="20.100000000000001" customHeight="1" x14ac:dyDescent="0.45">
      <c r="B8" s="75" t="s">
        <v>6</v>
      </c>
      <c r="C8" s="75"/>
      <c r="D8" s="75"/>
      <c r="E8" s="75"/>
      <c r="F8" s="75"/>
      <c r="G8" s="90" t="str">
        <f>_xlfn.CONCAT('Evaluador 1'!G8:S8, "")</f>
        <v/>
      </c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2"/>
      <c r="T8" s="79"/>
      <c r="U8" s="84" t="s">
        <v>7</v>
      </c>
      <c r="V8" s="85"/>
      <c r="W8" s="90" t="str">
        <f>_xlfn.CONCAT('Evaluador 1'!W8:X8, "")</f>
        <v/>
      </c>
      <c r="X8" s="92"/>
    </row>
    <row r="9" spans="2:24" ht="20.100000000000001" customHeight="1" x14ac:dyDescent="0.45">
      <c r="B9" s="86" t="s">
        <v>8</v>
      </c>
      <c r="C9" s="86"/>
      <c r="D9" s="86"/>
      <c r="E9" s="86"/>
      <c r="F9" s="86"/>
      <c r="G9" s="90" t="str">
        <f>_xlfn.CONCAT('Evaluador 1'!G9:I9, "")</f>
        <v/>
      </c>
      <c r="H9" s="91"/>
      <c r="I9" s="91"/>
      <c r="J9" s="6"/>
      <c r="K9" s="7" t="s">
        <v>9</v>
      </c>
      <c r="L9" s="91" t="str">
        <f>_xlfn.CONCAT('Evaluador 1'!L9:S9, "")</f>
        <v/>
      </c>
      <c r="M9" s="91"/>
      <c r="N9" s="91"/>
      <c r="O9" s="91"/>
      <c r="P9" s="91"/>
      <c r="Q9" s="91"/>
      <c r="R9" s="91"/>
      <c r="S9" s="92"/>
      <c r="T9" s="79"/>
      <c r="U9" s="87" t="s">
        <v>10</v>
      </c>
      <c r="V9" s="88"/>
      <c r="W9" s="96" t="str">
        <f>_xlfn.CONCAT('Evaluador 1'!W9:X9,"")</f>
        <v/>
      </c>
      <c r="X9" s="97"/>
    </row>
    <row r="10" spans="2:24" ht="36" customHeight="1" x14ac:dyDescent="0.45">
      <c r="B10" s="75" t="s">
        <v>11</v>
      </c>
      <c r="C10" s="75"/>
      <c r="D10" s="75"/>
      <c r="E10" s="75"/>
      <c r="F10" s="75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0"/>
      <c r="U10" s="53" t="s">
        <v>12</v>
      </c>
      <c r="V10" s="54"/>
      <c r="W10" s="55"/>
      <c r="X10" s="56"/>
    </row>
    <row r="13" spans="2:24" ht="20.100000000000001" customHeight="1" x14ac:dyDescent="0.45">
      <c r="B13" s="52" t="s">
        <v>13</v>
      </c>
      <c r="C13" s="52"/>
      <c r="D13" s="52"/>
      <c r="E13" s="52"/>
      <c r="F13" s="52"/>
      <c r="G13" s="52"/>
      <c r="H13" s="52"/>
      <c r="I13" s="52"/>
      <c r="J13" s="52"/>
      <c r="K13" s="52"/>
      <c r="L13" s="52"/>
      <c r="N13" s="52" t="s">
        <v>14</v>
      </c>
      <c r="O13" s="52"/>
      <c r="P13" s="52"/>
      <c r="Q13" s="52"/>
      <c r="R13" s="52"/>
      <c r="S13" s="52"/>
      <c r="T13" s="52"/>
      <c r="U13" s="52"/>
      <c r="V13" s="52"/>
      <c r="W13" s="52"/>
      <c r="X13" s="52"/>
    </row>
    <row r="14" spans="2:24" ht="20.100000000000001" customHeight="1" x14ac:dyDescent="0.45">
      <c r="B14" s="8" t="s">
        <v>15</v>
      </c>
      <c r="C14" s="57" t="s">
        <v>16</v>
      </c>
      <c r="D14" s="57"/>
      <c r="E14" s="57"/>
      <c r="F14" s="57"/>
      <c r="G14" s="57"/>
      <c r="H14" s="57"/>
      <c r="I14" s="57"/>
      <c r="J14" s="8" t="s">
        <v>17</v>
      </c>
      <c r="K14" s="8" t="s">
        <v>18</v>
      </c>
      <c r="L14" s="8" t="s">
        <v>19</v>
      </c>
      <c r="N14" s="9" t="s">
        <v>15</v>
      </c>
      <c r="O14" s="58" t="s">
        <v>16</v>
      </c>
      <c r="P14" s="59"/>
      <c r="Q14" s="59"/>
      <c r="R14" s="59"/>
      <c r="S14" s="59"/>
      <c r="T14" s="59"/>
      <c r="U14" s="60"/>
      <c r="V14" s="9" t="s">
        <v>17</v>
      </c>
      <c r="W14" s="9" t="s">
        <v>18</v>
      </c>
      <c r="X14" s="8" t="s">
        <v>19</v>
      </c>
    </row>
    <row r="15" spans="2:24" ht="20.100000000000001" customHeight="1" x14ac:dyDescent="0.45">
      <c r="B15" s="10">
        <v>1</v>
      </c>
      <c r="C15" s="44" t="s">
        <v>20</v>
      </c>
      <c r="D15" s="44"/>
      <c r="E15" s="44"/>
      <c r="F15" s="44"/>
      <c r="G15" s="44"/>
      <c r="H15" s="44"/>
      <c r="I15" s="44"/>
      <c r="J15" s="11">
        <v>40</v>
      </c>
      <c r="K15" s="12"/>
      <c r="L15" s="13">
        <f>ROUND(K15/17*J15,0)</f>
        <v>0</v>
      </c>
      <c r="N15" s="14">
        <v>7</v>
      </c>
      <c r="O15" s="25" t="s">
        <v>21</v>
      </c>
      <c r="P15" s="25"/>
      <c r="Q15" s="25"/>
      <c r="R15" s="25"/>
      <c r="S15" s="25"/>
      <c r="T15" s="25"/>
      <c r="U15" s="25"/>
      <c r="V15" s="15">
        <v>30</v>
      </c>
      <c r="W15" s="16"/>
      <c r="X15" s="13">
        <f>ROUND(W15/17*V15,0)</f>
        <v>0</v>
      </c>
    </row>
    <row r="16" spans="2:24" ht="20.100000000000001" customHeight="1" x14ac:dyDescent="0.45">
      <c r="B16" s="17">
        <v>2</v>
      </c>
      <c r="C16" s="44" t="s">
        <v>22</v>
      </c>
      <c r="D16" s="44"/>
      <c r="E16" s="44"/>
      <c r="F16" s="44"/>
      <c r="G16" s="44"/>
      <c r="H16" s="44"/>
      <c r="I16" s="44"/>
      <c r="J16" s="15">
        <v>10</v>
      </c>
      <c r="K16" s="12"/>
      <c r="L16" s="13">
        <f t="shared" ref="L16:L21" si="0">ROUND(K16/17*J16,0)</f>
        <v>0</v>
      </c>
      <c r="N16" s="14">
        <v>8</v>
      </c>
      <c r="O16" s="25" t="s">
        <v>23</v>
      </c>
      <c r="P16" s="25"/>
      <c r="Q16" s="25"/>
      <c r="R16" s="25"/>
      <c r="S16" s="25"/>
      <c r="T16" s="25"/>
      <c r="U16" s="25"/>
      <c r="V16" s="15">
        <v>30</v>
      </c>
      <c r="W16" s="16"/>
      <c r="X16" s="13">
        <f t="shared" ref="X16:X18" si="1">ROUND(W16/17*V16,0)</f>
        <v>0</v>
      </c>
    </row>
    <row r="17" spans="2:24" ht="20.100000000000001" customHeight="1" x14ac:dyDescent="0.45">
      <c r="B17" s="17">
        <v>3</v>
      </c>
      <c r="C17" s="44" t="s">
        <v>24</v>
      </c>
      <c r="D17" s="44"/>
      <c r="E17" s="44"/>
      <c r="F17" s="44"/>
      <c r="G17" s="44"/>
      <c r="H17" s="44"/>
      <c r="I17" s="44"/>
      <c r="J17" s="15">
        <v>20</v>
      </c>
      <c r="K17" s="12"/>
      <c r="L17" s="13">
        <f t="shared" si="0"/>
        <v>0</v>
      </c>
      <c r="N17" s="14">
        <v>9</v>
      </c>
      <c r="O17" s="25" t="s">
        <v>25</v>
      </c>
      <c r="P17" s="25"/>
      <c r="Q17" s="25"/>
      <c r="R17" s="25"/>
      <c r="S17" s="25"/>
      <c r="T17" s="25"/>
      <c r="U17" s="25"/>
      <c r="V17" s="15">
        <v>30</v>
      </c>
      <c r="W17" s="16"/>
      <c r="X17" s="13">
        <f t="shared" si="1"/>
        <v>0</v>
      </c>
    </row>
    <row r="18" spans="2:24" ht="20.100000000000001" customHeight="1" x14ac:dyDescent="0.45">
      <c r="B18" s="17">
        <v>4</v>
      </c>
      <c r="C18" s="44" t="s">
        <v>26</v>
      </c>
      <c r="D18" s="44"/>
      <c r="E18" s="44"/>
      <c r="F18" s="44"/>
      <c r="G18" s="44"/>
      <c r="H18" s="44"/>
      <c r="I18" s="44"/>
      <c r="J18" s="15">
        <v>20</v>
      </c>
      <c r="K18" s="12"/>
      <c r="L18" s="13">
        <f t="shared" si="0"/>
        <v>0</v>
      </c>
      <c r="N18" s="14">
        <v>10</v>
      </c>
      <c r="O18" s="25" t="s">
        <v>27</v>
      </c>
      <c r="P18" s="25"/>
      <c r="Q18" s="25"/>
      <c r="R18" s="25"/>
      <c r="S18" s="25"/>
      <c r="T18" s="25"/>
      <c r="U18" s="25"/>
      <c r="V18" s="15">
        <v>60</v>
      </c>
      <c r="W18" s="16"/>
      <c r="X18" s="13">
        <f t="shared" si="1"/>
        <v>0</v>
      </c>
    </row>
    <row r="19" spans="2:24" ht="20.100000000000001" customHeight="1" x14ac:dyDescent="0.45">
      <c r="B19" s="17">
        <v>5</v>
      </c>
      <c r="C19" s="44" t="s">
        <v>48</v>
      </c>
      <c r="D19" s="44"/>
      <c r="E19" s="44"/>
      <c r="F19" s="44"/>
      <c r="G19" s="44"/>
      <c r="H19" s="44"/>
      <c r="I19" s="44"/>
      <c r="J19" s="15">
        <v>20</v>
      </c>
      <c r="K19" s="12"/>
      <c r="L19" s="13">
        <f t="shared" si="0"/>
        <v>0</v>
      </c>
      <c r="N19" s="46" t="s">
        <v>28</v>
      </c>
      <c r="O19" s="47"/>
      <c r="P19" s="47"/>
      <c r="Q19" s="47"/>
      <c r="R19" s="47"/>
      <c r="S19" s="47"/>
      <c r="T19" s="47"/>
      <c r="U19" s="48"/>
      <c r="V19" s="18">
        <f>SUM(V15:V18)</f>
        <v>150</v>
      </c>
      <c r="W19" s="13">
        <f>ROUND((W15*V15+W16*V16+W17*V17+W18*V18)/V19, 0)</f>
        <v>0</v>
      </c>
      <c r="X19" s="13">
        <f>ROUND(W19/17*V19,0)</f>
        <v>0</v>
      </c>
    </row>
    <row r="20" spans="2:24" ht="20.100000000000001" customHeight="1" x14ac:dyDescent="0.45">
      <c r="B20" s="17">
        <v>6</v>
      </c>
      <c r="C20" s="44" t="s">
        <v>49</v>
      </c>
      <c r="D20" s="44"/>
      <c r="E20" s="44"/>
      <c r="F20" s="44"/>
      <c r="G20" s="44"/>
      <c r="H20" s="44"/>
      <c r="I20" s="44"/>
      <c r="J20" s="15">
        <v>50</v>
      </c>
      <c r="K20" s="12"/>
      <c r="L20" s="13">
        <f t="shared" si="0"/>
        <v>0</v>
      </c>
    </row>
    <row r="21" spans="2:24" ht="20.100000000000001" customHeight="1" x14ac:dyDescent="0.45">
      <c r="B21" s="41" t="s">
        <v>28</v>
      </c>
      <c r="C21" s="42"/>
      <c r="D21" s="42"/>
      <c r="E21" s="42"/>
      <c r="F21" s="42"/>
      <c r="G21" s="42"/>
      <c r="H21" s="42"/>
      <c r="I21" s="43"/>
      <c r="J21" s="14">
        <f>SUM(J15:J20)</f>
        <v>160</v>
      </c>
      <c r="K21" s="19">
        <f>ROUND((K15*J15+K16*J16+K17*J17+K18*J18+K19*J19+K20*J20)/J21, 0)</f>
        <v>0</v>
      </c>
      <c r="L21" s="13">
        <f t="shared" si="0"/>
        <v>0</v>
      </c>
    </row>
    <row r="22" spans="2:24" ht="20.100000000000001" customHeight="1" x14ac:dyDescent="0.45">
      <c r="N22" s="49" t="s">
        <v>30</v>
      </c>
      <c r="O22" s="50"/>
      <c r="P22" s="50"/>
      <c r="Q22" s="50"/>
      <c r="R22" s="50"/>
      <c r="S22" s="50"/>
      <c r="T22" s="50"/>
      <c r="U22" s="50"/>
      <c r="V22" s="50"/>
      <c r="W22" s="50"/>
      <c r="X22" s="51"/>
    </row>
    <row r="23" spans="2:24" ht="20.100000000000001" customHeight="1" x14ac:dyDescent="0.45">
      <c r="B23" s="52" t="s">
        <v>31</v>
      </c>
      <c r="C23" s="52"/>
      <c r="D23" s="52"/>
      <c r="E23" s="52"/>
      <c r="F23" s="52"/>
      <c r="G23" s="52"/>
      <c r="H23" s="52"/>
      <c r="I23" s="52"/>
      <c r="J23" s="52"/>
      <c r="K23" s="52"/>
      <c r="L23" s="52"/>
      <c r="N23" s="20" t="s">
        <v>15</v>
      </c>
      <c r="O23" s="32" t="s">
        <v>32</v>
      </c>
      <c r="P23" s="33"/>
      <c r="Q23" s="33"/>
      <c r="R23" s="33"/>
      <c r="S23" s="33"/>
      <c r="T23" s="33"/>
      <c r="U23" s="34"/>
      <c r="V23" s="21" t="s">
        <v>17</v>
      </c>
      <c r="W23" s="9" t="s">
        <v>18</v>
      </c>
      <c r="X23" s="20" t="s">
        <v>19</v>
      </c>
    </row>
    <row r="24" spans="2:24" ht="20.100000000000001" customHeight="1" x14ac:dyDescent="0.45">
      <c r="B24" s="8" t="s">
        <v>15</v>
      </c>
      <c r="C24" s="35" t="s">
        <v>16</v>
      </c>
      <c r="D24" s="45"/>
      <c r="E24" s="45"/>
      <c r="F24" s="45"/>
      <c r="G24" s="45"/>
      <c r="H24" s="45"/>
      <c r="I24" s="36"/>
      <c r="J24" s="5" t="s">
        <v>17</v>
      </c>
      <c r="K24" s="8" t="s">
        <v>18</v>
      </c>
      <c r="L24" s="8" t="s">
        <v>19</v>
      </c>
      <c r="N24" s="18">
        <v>16</v>
      </c>
      <c r="O24" s="26" t="s">
        <v>33</v>
      </c>
      <c r="P24" s="27"/>
      <c r="Q24" s="27"/>
      <c r="R24" s="27"/>
      <c r="S24" s="27"/>
      <c r="T24" s="27"/>
      <c r="U24" s="28"/>
      <c r="V24" s="22">
        <v>70</v>
      </c>
      <c r="W24" s="16"/>
      <c r="X24" s="13">
        <f>ROUND(W24/17*V24, 0)</f>
        <v>0</v>
      </c>
    </row>
    <row r="25" spans="2:24" ht="20.100000000000001" customHeight="1" x14ac:dyDescent="0.45">
      <c r="B25" s="14">
        <v>11</v>
      </c>
      <c r="C25" s="25" t="s">
        <v>34</v>
      </c>
      <c r="D25" s="25"/>
      <c r="E25" s="25"/>
      <c r="F25" s="25"/>
      <c r="G25" s="25"/>
      <c r="H25" s="25"/>
      <c r="I25" s="25"/>
      <c r="J25" s="15">
        <v>70</v>
      </c>
      <c r="K25" s="16"/>
      <c r="L25" s="13">
        <f>ROUND(K25/17*J25,0)</f>
        <v>0</v>
      </c>
      <c r="N25" s="18">
        <v>17</v>
      </c>
      <c r="O25" s="26" t="s">
        <v>35</v>
      </c>
      <c r="P25" s="27"/>
      <c r="Q25" s="27"/>
      <c r="R25" s="27"/>
      <c r="S25" s="27"/>
      <c r="T25" s="27"/>
      <c r="U25" s="28"/>
      <c r="V25" s="22">
        <v>50</v>
      </c>
      <c r="W25" s="16"/>
      <c r="X25" s="13">
        <f t="shared" ref="X25:X28" si="2">ROUND(W25/17*V25, 0)</f>
        <v>0</v>
      </c>
    </row>
    <row r="26" spans="2:24" ht="20.100000000000001" customHeight="1" x14ac:dyDescent="0.45">
      <c r="B26" s="14">
        <v>12</v>
      </c>
      <c r="C26" s="25" t="s">
        <v>36</v>
      </c>
      <c r="D26" s="25"/>
      <c r="E26" s="25"/>
      <c r="F26" s="25"/>
      <c r="G26" s="25"/>
      <c r="H26" s="25"/>
      <c r="I26" s="25"/>
      <c r="J26" s="15">
        <v>70</v>
      </c>
      <c r="K26" s="16"/>
      <c r="L26" s="13">
        <f t="shared" ref="L26:L28" si="3">ROUND(K26/17*J26,0)</f>
        <v>0</v>
      </c>
      <c r="N26" s="18">
        <v>18</v>
      </c>
      <c r="O26" s="26" t="s">
        <v>37</v>
      </c>
      <c r="P26" s="27"/>
      <c r="Q26" s="27"/>
      <c r="R26" s="27"/>
      <c r="S26" s="27"/>
      <c r="T26" s="27"/>
      <c r="U26" s="28"/>
      <c r="V26" s="22">
        <v>50</v>
      </c>
      <c r="W26" s="16"/>
      <c r="X26" s="13">
        <f t="shared" si="2"/>
        <v>0</v>
      </c>
    </row>
    <row r="27" spans="2:24" ht="20.100000000000001" customHeight="1" x14ac:dyDescent="0.45">
      <c r="B27" s="14">
        <v>13</v>
      </c>
      <c r="C27" s="25" t="s">
        <v>38</v>
      </c>
      <c r="D27" s="25"/>
      <c r="E27" s="25"/>
      <c r="F27" s="25"/>
      <c r="G27" s="25"/>
      <c r="H27" s="25"/>
      <c r="I27" s="25"/>
      <c r="J27" s="15">
        <v>70</v>
      </c>
      <c r="K27" s="16"/>
      <c r="L27" s="13">
        <f t="shared" si="3"/>
        <v>0</v>
      </c>
      <c r="N27" s="18">
        <v>19</v>
      </c>
      <c r="O27" s="26" t="s">
        <v>39</v>
      </c>
      <c r="P27" s="27"/>
      <c r="Q27" s="27"/>
      <c r="R27" s="27"/>
      <c r="S27" s="27"/>
      <c r="T27" s="27"/>
      <c r="U27" s="28"/>
      <c r="V27" s="22">
        <v>70</v>
      </c>
      <c r="W27" s="16"/>
      <c r="X27" s="13">
        <f t="shared" si="2"/>
        <v>0</v>
      </c>
    </row>
    <row r="28" spans="2:24" ht="20.100000000000001" customHeight="1" x14ac:dyDescent="0.45">
      <c r="B28" s="14">
        <v>14</v>
      </c>
      <c r="C28" s="25" t="s">
        <v>40</v>
      </c>
      <c r="D28" s="25"/>
      <c r="E28" s="25"/>
      <c r="F28" s="25"/>
      <c r="G28" s="25"/>
      <c r="H28" s="25"/>
      <c r="I28" s="25"/>
      <c r="J28" s="15">
        <v>70</v>
      </c>
      <c r="K28" s="16"/>
      <c r="L28" s="13">
        <f t="shared" si="3"/>
        <v>0</v>
      </c>
      <c r="N28" s="18">
        <v>20</v>
      </c>
      <c r="O28" s="26" t="s">
        <v>41</v>
      </c>
      <c r="P28" s="27"/>
      <c r="Q28" s="27"/>
      <c r="R28" s="27"/>
      <c r="S28" s="27"/>
      <c r="T28" s="27"/>
      <c r="U28" s="28"/>
      <c r="V28" s="22">
        <v>50</v>
      </c>
      <c r="W28" s="16"/>
      <c r="X28" s="13">
        <f t="shared" si="2"/>
        <v>0</v>
      </c>
    </row>
    <row r="29" spans="2:24" ht="20.100000000000001" customHeight="1" x14ac:dyDescent="0.45">
      <c r="B29" s="14">
        <v>15</v>
      </c>
      <c r="C29" s="38" t="s">
        <v>42</v>
      </c>
      <c r="D29" s="39"/>
      <c r="E29" s="39"/>
      <c r="F29" s="39"/>
      <c r="G29" s="39"/>
      <c r="H29" s="39"/>
      <c r="I29" s="40"/>
      <c r="J29" s="23">
        <v>70</v>
      </c>
      <c r="K29" s="16"/>
      <c r="L29" s="13">
        <f>L30-SUM(L25:L28)</f>
        <v>0</v>
      </c>
      <c r="N29" s="18">
        <v>21</v>
      </c>
      <c r="O29" s="26" t="s">
        <v>43</v>
      </c>
      <c r="P29" s="27"/>
      <c r="Q29" s="27"/>
      <c r="R29" s="27"/>
      <c r="S29" s="27"/>
      <c r="T29" s="27"/>
      <c r="U29" s="28"/>
      <c r="V29" s="22">
        <v>50</v>
      </c>
      <c r="W29" s="16"/>
      <c r="X29" s="13">
        <f>X30-SUM(X24:X28)</f>
        <v>0</v>
      </c>
    </row>
    <row r="30" spans="2:24" ht="20.100000000000001" customHeight="1" x14ac:dyDescent="0.45">
      <c r="B30" s="41" t="s">
        <v>28</v>
      </c>
      <c r="C30" s="42"/>
      <c r="D30" s="42"/>
      <c r="E30" s="42"/>
      <c r="F30" s="42"/>
      <c r="G30" s="42"/>
      <c r="H30" s="42"/>
      <c r="I30" s="43"/>
      <c r="J30" s="14">
        <f>SUM(J25:J29)</f>
        <v>350</v>
      </c>
      <c r="K30" s="13">
        <f>ROUND((K25*J25+K26*J26+K27*J27+K28*J28+K29*J29)/J30, 0)</f>
        <v>0</v>
      </c>
      <c r="L30" s="13">
        <f>ROUND(K30/17*J30,0)</f>
        <v>0</v>
      </c>
      <c r="N30" s="41" t="s">
        <v>28</v>
      </c>
      <c r="O30" s="42"/>
      <c r="P30" s="42"/>
      <c r="Q30" s="42"/>
      <c r="R30" s="42"/>
      <c r="S30" s="42"/>
      <c r="T30" s="42"/>
      <c r="U30" s="43"/>
      <c r="V30" s="14">
        <f>SUM(V24:V29)</f>
        <v>340</v>
      </c>
      <c r="W30" s="19">
        <f>ROUND((W24*V24+W25*V25+W26*V26+W27*V27+W28*V28+W29*V29)/V30, 0)</f>
        <v>0</v>
      </c>
      <c r="X30" s="19">
        <f>ROUND(W30/17*V30,0)</f>
        <v>0</v>
      </c>
    </row>
    <row r="33" spans="2:14" ht="20.100000000000001" customHeight="1" x14ac:dyDescent="0.45"/>
    <row r="34" spans="2:14" ht="24.95" customHeight="1" x14ac:dyDescent="0.45">
      <c r="B34" s="29" t="s">
        <v>44</v>
      </c>
      <c r="C34" s="30"/>
      <c r="D34" s="30"/>
      <c r="E34" s="30"/>
      <c r="F34" s="30"/>
      <c r="G34" s="30"/>
      <c r="H34" s="30"/>
      <c r="I34" s="31"/>
      <c r="J34" s="8" t="s">
        <v>17</v>
      </c>
      <c r="K34" s="8" t="s">
        <v>19</v>
      </c>
      <c r="L34" s="8" t="s">
        <v>18</v>
      </c>
      <c r="M34" s="35" t="s">
        <v>45</v>
      </c>
      <c r="N34" s="36"/>
    </row>
    <row r="35" spans="2:14" x14ac:dyDescent="0.45">
      <c r="B35" s="32"/>
      <c r="C35" s="33"/>
      <c r="D35" s="33"/>
      <c r="E35" s="33"/>
      <c r="F35" s="33"/>
      <c r="G35" s="33"/>
      <c r="H35" s="33"/>
      <c r="I35" s="34"/>
      <c r="J35" s="24">
        <f>SUM(J30,V30,V19,J21)</f>
        <v>1000</v>
      </c>
      <c r="K35" s="24">
        <f>X30+L30+X19+L21</f>
        <v>0</v>
      </c>
      <c r="L35" s="24">
        <f>ROUND(K35/10, 0)</f>
        <v>0</v>
      </c>
      <c r="M35" s="37">
        <f>ROUND(K35/J35*17,0)</f>
        <v>0</v>
      </c>
      <c r="N35" s="37"/>
    </row>
  </sheetData>
  <mergeCells count="59">
    <mergeCell ref="B7:F7"/>
    <mergeCell ref="G7:S7"/>
    <mergeCell ref="T7:T10"/>
    <mergeCell ref="U7:V7"/>
    <mergeCell ref="W7:X7"/>
    <mergeCell ref="B8:F8"/>
    <mergeCell ref="G8:S8"/>
    <mergeCell ref="U8:V8"/>
    <mergeCell ref="W8:X8"/>
    <mergeCell ref="B9:F9"/>
    <mergeCell ref="G9:I9"/>
    <mergeCell ref="L9:S9"/>
    <mergeCell ref="U9:V9"/>
    <mergeCell ref="W9:X9"/>
    <mergeCell ref="B10:F10"/>
    <mergeCell ref="G10:S10"/>
    <mergeCell ref="B2:X2"/>
    <mergeCell ref="B3:X3"/>
    <mergeCell ref="B4:X4"/>
    <mergeCell ref="B6:F6"/>
    <mergeCell ref="G6:X6"/>
    <mergeCell ref="U10:V10"/>
    <mergeCell ref="W10:X10"/>
    <mergeCell ref="B13:L13"/>
    <mergeCell ref="N13:X13"/>
    <mergeCell ref="C14:I14"/>
    <mergeCell ref="O14:U14"/>
    <mergeCell ref="C15:I15"/>
    <mergeCell ref="O15:U15"/>
    <mergeCell ref="C16:I16"/>
    <mergeCell ref="O16:U16"/>
    <mergeCell ref="C24:I24"/>
    <mergeCell ref="O24:U24"/>
    <mergeCell ref="C17:I17"/>
    <mergeCell ref="O17:U17"/>
    <mergeCell ref="C18:I18"/>
    <mergeCell ref="O18:U18"/>
    <mergeCell ref="C19:I19"/>
    <mergeCell ref="N19:U19"/>
    <mergeCell ref="C20:I20"/>
    <mergeCell ref="B21:I21"/>
    <mergeCell ref="N22:X22"/>
    <mergeCell ref="B23:L23"/>
    <mergeCell ref="O23:U23"/>
    <mergeCell ref="C25:I25"/>
    <mergeCell ref="O25:U25"/>
    <mergeCell ref="C26:I26"/>
    <mergeCell ref="O26:U26"/>
    <mergeCell ref="C27:I27"/>
    <mergeCell ref="O27:U27"/>
    <mergeCell ref="B34:I35"/>
    <mergeCell ref="M34:N34"/>
    <mergeCell ref="M35:N35"/>
    <mergeCell ref="C28:I28"/>
    <mergeCell ref="O28:U28"/>
    <mergeCell ref="C29:I29"/>
    <mergeCell ref="O29:U29"/>
    <mergeCell ref="B30:I30"/>
    <mergeCell ref="N30:U3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2E728-C403-49C2-B96E-1103506429DB}">
  <dimension ref="B2:X35"/>
  <sheetViews>
    <sheetView tabSelected="1" topLeftCell="A8" workbookViewId="0">
      <selection activeCell="B21" sqref="B21:I21"/>
    </sheetView>
  </sheetViews>
  <sheetFormatPr baseColWidth="10" defaultColWidth="11.3984375" defaultRowHeight="14.25" x14ac:dyDescent="0.45"/>
  <cols>
    <col min="1" max="1" width="11.3984375" style="1"/>
    <col min="2" max="2" width="7.1328125" style="1" customWidth="1"/>
    <col min="3" max="7" width="5.73046875" style="1" customWidth="1"/>
    <col min="8" max="8" width="7.73046875" style="1" customWidth="1"/>
    <col min="9" max="9" width="20.86328125" style="1" customWidth="1"/>
    <col min="10" max="10" width="7.73046875" style="1" customWidth="1"/>
    <col min="11" max="12" width="10.73046875" style="1" customWidth="1"/>
    <col min="13" max="19" width="5.73046875" style="1" customWidth="1"/>
    <col min="20" max="22" width="7.73046875" style="1" customWidth="1"/>
    <col min="23" max="24" width="10.73046875" style="1" customWidth="1"/>
    <col min="25" max="16384" width="11.3984375" style="1"/>
  </cols>
  <sheetData>
    <row r="2" spans="2:24" ht="15.75" x14ac:dyDescent="0.5">
      <c r="B2" s="61" t="s">
        <v>0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3"/>
    </row>
    <row r="3" spans="2:24" ht="15.75" x14ac:dyDescent="0.5">
      <c r="B3" s="64" t="s">
        <v>1</v>
      </c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6"/>
    </row>
    <row r="4" spans="2:24" ht="15.75" x14ac:dyDescent="0.5">
      <c r="B4" s="67" t="s">
        <v>2</v>
      </c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9"/>
    </row>
    <row r="5" spans="2:24" ht="18" x14ac:dyDescent="0.55000000000000004">
      <c r="B5" s="2"/>
      <c r="C5" s="2"/>
      <c r="D5" s="2"/>
      <c r="E5" s="2"/>
      <c r="F5" s="2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4"/>
    </row>
    <row r="6" spans="2:24" ht="40.700000000000003" customHeight="1" x14ac:dyDescent="0.45">
      <c r="B6" s="70" t="s">
        <v>3</v>
      </c>
      <c r="C6" s="70"/>
      <c r="D6" s="70"/>
      <c r="E6" s="70"/>
      <c r="F6" s="71"/>
      <c r="G6" s="81" t="str">
        <f>_xlfn.CONCAT('Evaluador 1'!G6:X6, "")</f>
        <v/>
      </c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3"/>
    </row>
    <row r="7" spans="2:24" ht="20.100000000000001" customHeight="1" x14ac:dyDescent="0.45">
      <c r="B7" s="75" t="s">
        <v>4</v>
      </c>
      <c r="C7" s="75"/>
      <c r="D7" s="75"/>
      <c r="E7" s="75"/>
      <c r="F7" s="75"/>
      <c r="G7" s="76" t="str">
        <f>_xlfn.CONCAT('Evaluador 1'!G7:S7, "")</f>
        <v/>
      </c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8"/>
      <c r="T7" s="79"/>
      <c r="U7" s="58" t="s">
        <v>5</v>
      </c>
      <c r="V7" s="60"/>
      <c r="W7" s="76" t="str">
        <f>_xlfn.CONCAT('Evaluador 1'!W7:X7, "")</f>
        <v/>
      </c>
      <c r="X7" s="78"/>
    </row>
    <row r="8" spans="2:24" ht="20.100000000000001" customHeight="1" x14ac:dyDescent="0.45">
      <c r="B8" s="75" t="s">
        <v>6</v>
      </c>
      <c r="C8" s="75"/>
      <c r="D8" s="75"/>
      <c r="E8" s="75"/>
      <c r="F8" s="75"/>
      <c r="G8" s="81" t="str">
        <f>_xlfn.CONCAT('Evaluador 1'!G8:S8, "")</f>
        <v/>
      </c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3"/>
      <c r="T8" s="79"/>
      <c r="U8" s="84" t="s">
        <v>7</v>
      </c>
      <c r="V8" s="85"/>
      <c r="W8" s="81" t="str">
        <f>_xlfn.CONCAT('Evaluador 1'!W8:X8, "")</f>
        <v/>
      </c>
      <c r="X8" s="83"/>
    </row>
    <row r="9" spans="2:24" ht="20.100000000000001" customHeight="1" x14ac:dyDescent="0.45">
      <c r="B9" s="86" t="s">
        <v>8</v>
      </c>
      <c r="C9" s="86"/>
      <c r="D9" s="86"/>
      <c r="E9" s="86"/>
      <c r="F9" s="86"/>
      <c r="G9" s="81" t="str">
        <f>_xlfn.CONCAT('Evaluador 1'!G9:I9, "")</f>
        <v/>
      </c>
      <c r="H9" s="82"/>
      <c r="I9" s="82"/>
      <c r="J9" s="6"/>
      <c r="K9" s="7" t="s">
        <v>9</v>
      </c>
      <c r="L9" s="82" t="str">
        <f>_xlfn.CONCAT('Evaluador 1'!L9:S9, "")</f>
        <v/>
      </c>
      <c r="M9" s="82"/>
      <c r="N9" s="82"/>
      <c r="O9" s="82"/>
      <c r="P9" s="82"/>
      <c r="Q9" s="82"/>
      <c r="R9" s="82"/>
      <c r="S9" s="83"/>
      <c r="T9" s="79"/>
      <c r="U9" s="87" t="s">
        <v>10</v>
      </c>
      <c r="V9" s="88"/>
      <c r="W9" s="98" t="str">
        <f>_xlfn.CONCAT('Evaluador 1'!W9:X9,"")</f>
        <v/>
      </c>
      <c r="X9" s="99"/>
    </row>
    <row r="10" spans="2:24" ht="36" customHeight="1" x14ac:dyDescent="0.45">
      <c r="B10" s="75" t="s">
        <v>11</v>
      </c>
      <c r="C10" s="75"/>
      <c r="D10" s="75"/>
      <c r="E10" s="75"/>
      <c r="F10" s="75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0"/>
      <c r="U10" s="53" t="s">
        <v>12</v>
      </c>
      <c r="V10" s="54"/>
      <c r="W10" s="55"/>
      <c r="X10" s="56"/>
    </row>
    <row r="13" spans="2:24" ht="20.100000000000001" customHeight="1" x14ac:dyDescent="0.45">
      <c r="B13" s="52" t="s">
        <v>13</v>
      </c>
      <c r="C13" s="52"/>
      <c r="D13" s="52"/>
      <c r="E13" s="52"/>
      <c r="F13" s="52"/>
      <c r="G13" s="52"/>
      <c r="H13" s="52"/>
      <c r="I13" s="52"/>
      <c r="J13" s="52"/>
      <c r="K13" s="52"/>
      <c r="L13" s="52"/>
      <c r="N13" s="52" t="s">
        <v>14</v>
      </c>
      <c r="O13" s="52"/>
      <c r="P13" s="52"/>
      <c r="Q13" s="52"/>
      <c r="R13" s="52"/>
      <c r="S13" s="52"/>
      <c r="T13" s="52"/>
      <c r="U13" s="52"/>
      <c r="V13" s="52"/>
      <c r="W13" s="52"/>
      <c r="X13" s="52"/>
    </row>
    <row r="14" spans="2:24" ht="20.100000000000001" customHeight="1" x14ac:dyDescent="0.45">
      <c r="B14" s="8" t="s">
        <v>15</v>
      </c>
      <c r="C14" s="57" t="s">
        <v>16</v>
      </c>
      <c r="D14" s="57"/>
      <c r="E14" s="57"/>
      <c r="F14" s="57"/>
      <c r="G14" s="57"/>
      <c r="H14" s="57"/>
      <c r="I14" s="57"/>
      <c r="J14" s="8" t="s">
        <v>17</v>
      </c>
      <c r="K14" s="8" t="s">
        <v>18</v>
      </c>
      <c r="L14" s="8" t="s">
        <v>19</v>
      </c>
      <c r="N14" s="9" t="s">
        <v>15</v>
      </c>
      <c r="O14" s="58" t="s">
        <v>16</v>
      </c>
      <c r="P14" s="59"/>
      <c r="Q14" s="59"/>
      <c r="R14" s="59"/>
      <c r="S14" s="59"/>
      <c r="T14" s="59"/>
      <c r="U14" s="60"/>
      <c r="V14" s="9" t="s">
        <v>17</v>
      </c>
      <c r="W14" s="9" t="s">
        <v>18</v>
      </c>
      <c r="X14" s="8" t="s">
        <v>19</v>
      </c>
    </row>
    <row r="15" spans="2:24" ht="20.100000000000001" customHeight="1" x14ac:dyDescent="0.45">
      <c r="B15" s="10">
        <v>1</v>
      </c>
      <c r="C15" s="44" t="s">
        <v>20</v>
      </c>
      <c r="D15" s="44"/>
      <c r="E15" s="44"/>
      <c r="F15" s="44"/>
      <c r="G15" s="44"/>
      <c r="H15" s="44"/>
      <c r="I15" s="44"/>
      <c r="J15" s="11">
        <v>40</v>
      </c>
      <c r="K15" s="12"/>
      <c r="L15" s="13">
        <f>ROUND(K15/17*J15,0)</f>
        <v>0</v>
      </c>
      <c r="N15" s="14">
        <v>7</v>
      </c>
      <c r="O15" s="25" t="s">
        <v>21</v>
      </c>
      <c r="P15" s="25"/>
      <c r="Q15" s="25"/>
      <c r="R15" s="25"/>
      <c r="S15" s="25"/>
      <c r="T15" s="25"/>
      <c r="U15" s="25"/>
      <c r="V15" s="15">
        <v>30</v>
      </c>
      <c r="W15" s="16"/>
      <c r="X15" s="13">
        <f>ROUND(W15/17*V15,0)</f>
        <v>0</v>
      </c>
    </row>
    <row r="16" spans="2:24" ht="20.100000000000001" customHeight="1" x14ac:dyDescent="0.45">
      <c r="B16" s="17">
        <v>2</v>
      </c>
      <c r="C16" s="44" t="s">
        <v>22</v>
      </c>
      <c r="D16" s="44"/>
      <c r="E16" s="44"/>
      <c r="F16" s="44"/>
      <c r="G16" s="44"/>
      <c r="H16" s="44"/>
      <c r="I16" s="44"/>
      <c r="J16" s="15">
        <v>10</v>
      </c>
      <c r="K16" s="12"/>
      <c r="L16" s="13">
        <f t="shared" ref="L16:L21" si="0">ROUND(K16/17*J16,0)</f>
        <v>0</v>
      </c>
      <c r="N16" s="14">
        <v>8</v>
      </c>
      <c r="O16" s="25" t="s">
        <v>23</v>
      </c>
      <c r="P16" s="25"/>
      <c r="Q16" s="25"/>
      <c r="R16" s="25"/>
      <c r="S16" s="25"/>
      <c r="T16" s="25"/>
      <c r="U16" s="25"/>
      <c r="V16" s="15">
        <v>30</v>
      </c>
      <c r="W16" s="16"/>
      <c r="X16" s="13">
        <f t="shared" ref="X16:X18" si="1">ROUND(W16/17*V16,0)</f>
        <v>0</v>
      </c>
    </row>
    <row r="17" spans="2:24" ht="20.100000000000001" customHeight="1" x14ac:dyDescent="0.45">
      <c r="B17" s="17">
        <v>3</v>
      </c>
      <c r="C17" s="44" t="s">
        <v>24</v>
      </c>
      <c r="D17" s="44"/>
      <c r="E17" s="44"/>
      <c r="F17" s="44"/>
      <c r="G17" s="44"/>
      <c r="H17" s="44"/>
      <c r="I17" s="44"/>
      <c r="J17" s="15">
        <v>20</v>
      </c>
      <c r="K17" s="12"/>
      <c r="L17" s="13">
        <f t="shared" si="0"/>
        <v>0</v>
      </c>
      <c r="N17" s="14">
        <v>9</v>
      </c>
      <c r="O17" s="25" t="s">
        <v>25</v>
      </c>
      <c r="P17" s="25"/>
      <c r="Q17" s="25"/>
      <c r="R17" s="25"/>
      <c r="S17" s="25"/>
      <c r="T17" s="25"/>
      <c r="U17" s="25"/>
      <c r="V17" s="15">
        <v>30</v>
      </c>
      <c r="W17" s="16"/>
      <c r="X17" s="13">
        <f t="shared" si="1"/>
        <v>0</v>
      </c>
    </row>
    <row r="18" spans="2:24" ht="20.100000000000001" customHeight="1" x14ac:dyDescent="0.45">
      <c r="B18" s="17">
        <v>4</v>
      </c>
      <c r="C18" s="44" t="s">
        <v>26</v>
      </c>
      <c r="D18" s="44"/>
      <c r="E18" s="44"/>
      <c r="F18" s="44"/>
      <c r="G18" s="44"/>
      <c r="H18" s="44"/>
      <c r="I18" s="44"/>
      <c r="J18" s="15">
        <v>20</v>
      </c>
      <c r="K18" s="12"/>
      <c r="L18" s="13">
        <f t="shared" si="0"/>
        <v>0</v>
      </c>
      <c r="N18" s="14">
        <v>10</v>
      </c>
      <c r="O18" s="25" t="s">
        <v>27</v>
      </c>
      <c r="P18" s="25"/>
      <c r="Q18" s="25"/>
      <c r="R18" s="25"/>
      <c r="S18" s="25"/>
      <c r="T18" s="25"/>
      <c r="U18" s="25"/>
      <c r="V18" s="15">
        <v>60</v>
      </c>
      <c r="W18" s="16"/>
      <c r="X18" s="13">
        <f t="shared" si="1"/>
        <v>0</v>
      </c>
    </row>
    <row r="19" spans="2:24" ht="20.100000000000001" customHeight="1" x14ac:dyDescent="0.45">
      <c r="B19" s="17">
        <v>5</v>
      </c>
      <c r="C19" s="44" t="s">
        <v>48</v>
      </c>
      <c r="D19" s="44"/>
      <c r="E19" s="44"/>
      <c r="F19" s="44"/>
      <c r="G19" s="44"/>
      <c r="H19" s="44"/>
      <c r="I19" s="44"/>
      <c r="J19" s="15">
        <v>20</v>
      </c>
      <c r="K19" s="12"/>
      <c r="L19" s="13">
        <f t="shared" si="0"/>
        <v>0</v>
      </c>
      <c r="N19" s="46" t="s">
        <v>28</v>
      </c>
      <c r="O19" s="47"/>
      <c r="P19" s="47"/>
      <c r="Q19" s="47"/>
      <c r="R19" s="47"/>
      <c r="S19" s="47"/>
      <c r="T19" s="47"/>
      <c r="U19" s="48"/>
      <c r="V19" s="18">
        <f>SUM(V15:V18)</f>
        <v>150</v>
      </c>
      <c r="W19" s="13">
        <f>ROUND((W15*V15+W16*V16+W17*V17+W18*V18)/V19, 0)</f>
        <v>0</v>
      </c>
      <c r="X19" s="13">
        <f>ROUND(W19/17*V19,0)</f>
        <v>0</v>
      </c>
    </row>
    <row r="20" spans="2:24" ht="20.100000000000001" customHeight="1" x14ac:dyDescent="0.45">
      <c r="B20" s="17">
        <v>6</v>
      </c>
      <c r="C20" s="44" t="s">
        <v>49</v>
      </c>
      <c r="D20" s="44"/>
      <c r="E20" s="44"/>
      <c r="F20" s="44"/>
      <c r="G20" s="44"/>
      <c r="H20" s="44"/>
      <c r="I20" s="44"/>
      <c r="J20" s="15">
        <v>50</v>
      </c>
      <c r="K20" s="12"/>
      <c r="L20" s="13">
        <f t="shared" si="0"/>
        <v>0</v>
      </c>
    </row>
    <row r="21" spans="2:24" ht="20.100000000000001" customHeight="1" x14ac:dyDescent="0.45">
      <c r="B21" s="41" t="s">
        <v>28</v>
      </c>
      <c r="C21" s="42"/>
      <c r="D21" s="42"/>
      <c r="E21" s="42"/>
      <c r="F21" s="42"/>
      <c r="G21" s="42"/>
      <c r="H21" s="42"/>
      <c r="I21" s="43"/>
      <c r="J21" s="14">
        <f>SUM(J15:J20)</f>
        <v>160</v>
      </c>
      <c r="K21" s="19">
        <f>ROUND((K15*J15+K16*J16+K17*J17+K18*J18+K19*J19+K20*J20)/J21, 0)</f>
        <v>0</v>
      </c>
      <c r="L21" s="13">
        <f t="shared" si="0"/>
        <v>0</v>
      </c>
    </row>
    <row r="22" spans="2:24" ht="20.100000000000001" customHeight="1" x14ac:dyDescent="0.45">
      <c r="N22" s="49" t="s">
        <v>30</v>
      </c>
      <c r="O22" s="50"/>
      <c r="P22" s="50"/>
      <c r="Q22" s="50"/>
      <c r="R22" s="50"/>
      <c r="S22" s="50"/>
      <c r="T22" s="50"/>
      <c r="U22" s="50"/>
      <c r="V22" s="50"/>
      <c r="W22" s="50"/>
      <c r="X22" s="51"/>
    </row>
    <row r="23" spans="2:24" ht="20.100000000000001" customHeight="1" x14ac:dyDescent="0.45">
      <c r="B23" s="52" t="s">
        <v>31</v>
      </c>
      <c r="C23" s="52"/>
      <c r="D23" s="52"/>
      <c r="E23" s="52"/>
      <c r="F23" s="52"/>
      <c r="G23" s="52"/>
      <c r="H23" s="52"/>
      <c r="I23" s="52"/>
      <c r="J23" s="52"/>
      <c r="K23" s="52"/>
      <c r="L23" s="52"/>
      <c r="N23" s="20" t="s">
        <v>15</v>
      </c>
      <c r="O23" s="32" t="s">
        <v>32</v>
      </c>
      <c r="P23" s="33"/>
      <c r="Q23" s="33"/>
      <c r="R23" s="33"/>
      <c r="S23" s="33"/>
      <c r="T23" s="33"/>
      <c r="U23" s="34"/>
      <c r="V23" s="21" t="s">
        <v>17</v>
      </c>
      <c r="W23" s="9" t="s">
        <v>18</v>
      </c>
      <c r="X23" s="20" t="s">
        <v>19</v>
      </c>
    </row>
    <row r="24" spans="2:24" ht="20.100000000000001" customHeight="1" x14ac:dyDescent="0.45">
      <c r="B24" s="8" t="s">
        <v>15</v>
      </c>
      <c r="C24" s="35" t="s">
        <v>16</v>
      </c>
      <c r="D24" s="45"/>
      <c r="E24" s="45"/>
      <c r="F24" s="45"/>
      <c r="G24" s="45"/>
      <c r="H24" s="45"/>
      <c r="I24" s="36"/>
      <c r="J24" s="5" t="s">
        <v>17</v>
      </c>
      <c r="K24" s="8" t="s">
        <v>18</v>
      </c>
      <c r="L24" s="8" t="s">
        <v>19</v>
      </c>
      <c r="N24" s="18">
        <v>16</v>
      </c>
      <c r="O24" s="26" t="s">
        <v>33</v>
      </c>
      <c r="P24" s="27"/>
      <c r="Q24" s="27"/>
      <c r="R24" s="27"/>
      <c r="S24" s="27"/>
      <c r="T24" s="27"/>
      <c r="U24" s="28"/>
      <c r="V24" s="22">
        <v>70</v>
      </c>
      <c r="W24" s="16"/>
      <c r="X24" s="13">
        <f>ROUND(W24/17*V24, 0)</f>
        <v>0</v>
      </c>
    </row>
    <row r="25" spans="2:24" ht="20.100000000000001" customHeight="1" x14ac:dyDescent="0.45">
      <c r="B25" s="14">
        <v>11</v>
      </c>
      <c r="C25" s="25" t="s">
        <v>34</v>
      </c>
      <c r="D25" s="25"/>
      <c r="E25" s="25"/>
      <c r="F25" s="25"/>
      <c r="G25" s="25"/>
      <c r="H25" s="25"/>
      <c r="I25" s="25"/>
      <c r="J25" s="15">
        <v>70</v>
      </c>
      <c r="K25" s="16"/>
      <c r="L25" s="13">
        <f>ROUND(K25/17*J25,0)</f>
        <v>0</v>
      </c>
      <c r="N25" s="18">
        <v>17</v>
      </c>
      <c r="O25" s="26" t="s">
        <v>35</v>
      </c>
      <c r="P25" s="27"/>
      <c r="Q25" s="27"/>
      <c r="R25" s="27"/>
      <c r="S25" s="27"/>
      <c r="T25" s="27"/>
      <c r="U25" s="28"/>
      <c r="V25" s="22">
        <v>50</v>
      </c>
      <c r="W25" s="16"/>
      <c r="X25" s="13">
        <f t="shared" ref="X25:X28" si="2">ROUND(W25/17*V25, 0)</f>
        <v>0</v>
      </c>
    </row>
    <row r="26" spans="2:24" ht="20.100000000000001" customHeight="1" x14ac:dyDescent="0.45">
      <c r="B26" s="14">
        <v>12</v>
      </c>
      <c r="C26" s="25" t="s">
        <v>36</v>
      </c>
      <c r="D26" s="25"/>
      <c r="E26" s="25"/>
      <c r="F26" s="25"/>
      <c r="G26" s="25"/>
      <c r="H26" s="25"/>
      <c r="I26" s="25"/>
      <c r="J26" s="15">
        <v>70</v>
      </c>
      <c r="K26" s="16"/>
      <c r="L26" s="13">
        <f t="shared" ref="L26:L28" si="3">ROUND(K26/17*J26,0)</f>
        <v>0</v>
      </c>
      <c r="N26" s="18">
        <v>18</v>
      </c>
      <c r="O26" s="26" t="s">
        <v>37</v>
      </c>
      <c r="P26" s="27"/>
      <c r="Q26" s="27"/>
      <c r="R26" s="27"/>
      <c r="S26" s="27"/>
      <c r="T26" s="27"/>
      <c r="U26" s="28"/>
      <c r="V26" s="22">
        <v>50</v>
      </c>
      <c r="W26" s="16"/>
      <c r="X26" s="13">
        <f t="shared" si="2"/>
        <v>0</v>
      </c>
    </row>
    <row r="27" spans="2:24" ht="20.100000000000001" customHeight="1" x14ac:dyDescent="0.45">
      <c r="B27" s="14">
        <v>13</v>
      </c>
      <c r="C27" s="25" t="s">
        <v>38</v>
      </c>
      <c r="D27" s="25"/>
      <c r="E27" s="25"/>
      <c r="F27" s="25"/>
      <c r="G27" s="25"/>
      <c r="H27" s="25"/>
      <c r="I27" s="25"/>
      <c r="J27" s="15">
        <v>70</v>
      </c>
      <c r="K27" s="16"/>
      <c r="L27" s="13">
        <f t="shared" si="3"/>
        <v>0</v>
      </c>
      <c r="N27" s="18">
        <v>19</v>
      </c>
      <c r="O27" s="26" t="s">
        <v>39</v>
      </c>
      <c r="P27" s="27"/>
      <c r="Q27" s="27"/>
      <c r="R27" s="27"/>
      <c r="S27" s="27"/>
      <c r="T27" s="27"/>
      <c r="U27" s="28"/>
      <c r="V27" s="22">
        <v>70</v>
      </c>
      <c r="W27" s="16"/>
      <c r="X27" s="13">
        <f t="shared" si="2"/>
        <v>0</v>
      </c>
    </row>
    <row r="28" spans="2:24" ht="20.100000000000001" customHeight="1" x14ac:dyDescent="0.45">
      <c r="B28" s="14">
        <v>14</v>
      </c>
      <c r="C28" s="25" t="s">
        <v>40</v>
      </c>
      <c r="D28" s="25"/>
      <c r="E28" s="25"/>
      <c r="F28" s="25"/>
      <c r="G28" s="25"/>
      <c r="H28" s="25"/>
      <c r="I28" s="25"/>
      <c r="J28" s="15">
        <v>70</v>
      </c>
      <c r="K28" s="16"/>
      <c r="L28" s="13">
        <f t="shared" si="3"/>
        <v>0</v>
      </c>
      <c r="N28" s="18">
        <v>20</v>
      </c>
      <c r="O28" s="26" t="s">
        <v>41</v>
      </c>
      <c r="P28" s="27"/>
      <c r="Q28" s="27"/>
      <c r="R28" s="27"/>
      <c r="S28" s="27"/>
      <c r="T28" s="27"/>
      <c r="U28" s="28"/>
      <c r="V28" s="22">
        <v>50</v>
      </c>
      <c r="W28" s="16"/>
      <c r="X28" s="13">
        <f t="shared" si="2"/>
        <v>0</v>
      </c>
    </row>
    <row r="29" spans="2:24" ht="20.100000000000001" customHeight="1" x14ac:dyDescent="0.45">
      <c r="B29" s="14">
        <v>15</v>
      </c>
      <c r="C29" s="38" t="s">
        <v>42</v>
      </c>
      <c r="D29" s="39"/>
      <c r="E29" s="39"/>
      <c r="F29" s="39"/>
      <c r="G29" s="39"/>
      <c r="H29" s="39"/>
      <c r="I29" s="40"/>
      <c r="J29" s="23">
        <v>70</v>
      </c>
      <c r="K29" s="16"/>
      <c r="L29" s="13">
        <f>L30-SUM(L25:L28)</f>
        <v>0</v>
      </c>
      <c r="N29" s="18">
        <v>21</v>
      </c>
      <c r="O29" s="26" t="s">
        <v>43</v>
      </c>
      <c r="P29" s="27"/>
      <c r="Q29" s="27"/>
      <c r="R29" s="27"/>
      <c r="S29" s="27"/>
      <c r="T29" s="27"/>
      <c r="U29" s="28"/>
      <c r="V29" s="22">
        <v>50</v>
      </c>
      <c r="W29" s="16"/>
      <c r="X29" s="13">
        <f>X30-SUM(X24:X28)</f>
        <v>0</v>
      </c>
    </row>
    <row r="30" spans="2:24" ht="20.100000000000001" customHeight="1" x14ac:dyDescent="0.45">
      <c r="B30" s="41" t="s">
        <v>28</v>
      </c>
      <c r="C30" s="42"/>
      <c r="D30" s="42"/>
      <c r="E30" s="42"/>
      <c r="F30" s="42"/>
      <c r="G30" s="42"/>
      <c r="H30" s="42"/>
      <c r="I30" s="43"/>
      <c r="J30" s="14">
        <f>SUM(J25:J29)</f>
        <v>350</v>
      </c>
      <c r="K30" s="13">
        <f>ROUND((K25*J25+K26*J26+K27*J27+K28*J28+K29*J29)/J30, 0)</f>
        <v>0</v>
      </c>
      <c r="L30" s="13">
        <f>ROUND(K30/17*J30,0)</f>
        <v>0</v>
      </c>
      <c r="N30" s="41" t="s">
        <v>28</v>
      </c>
      <c r="O30" s="42"/>
      <c r="P30" s="42"/>
      <c r="Q30" s="42"/>
      <c r="R30" s="42"/>
      <c r="S30" s="42"/>
      <c r="T30" s="42"/>
      <c r="U30" s="43"/>
      <c r="V30" s="14">
        <f>SUM(V24:V29)</f>
        <v>340</v>
      </c>
      <c r="W30" s="19">
        <f>ROUND((W24*V24+W25*V25+W26*V26+W27*V27+W28*V28+W29*V29)/V30, 0)</f>
        <v>0</v>
      </c>
      <c r="X30" s="19">
        <f>ROUND(W30/17*V30,0)</f>
        <v>0</v>
      </c>
    </row>
    <row r="33" spans="2:14" ht="20.100000000000001" customHeight="1" x14ac:dyDescent="0.45"/>
    <row r="34" spans="2:14" ht="24.95" customHeight="1" x14ac:dyDescent="0.45">
      <c r="B34" s="29" t="s">
        <v>44</v>
      </c>
      <c r="C34" s="30"/>
      <c r="D34" s="30"/>
      <c r="E34" s="30"/>
      <c r="F34" s="30"/>
      <c r="G34" s="30"/>
      <c r="H34" s="30"/>
      <c r="I34" s="31"/>
      <c r="J34" s="8" t="s">
        <v>17</v>
      </c>
      <c r="K34" s="8" t="s">
        <v>19</v>
      </c>
      <c r="L34" s="8" t="s">
        <v>18</v>
      </c>
      <c r="M34" s="35" t="s">
        <v>45</v>
      </c>
      <c r="N34" s="36"/>
    </row>
    <row r="35" spans="2:14" x14ac:dyDescent="0.45">
      <c r="B35" s="32"/>
      <c r="C35" s="33"/>
      <c r="D35" s="33"/>
      <c r="E35" s="33"/>
      <c r="F35" s="33"/>
      <c r="G35" s="33"/>
      <c r="H35" s="33"/>
      <c r="I35" s="34"/>
      <c r="J35" s="24">
        <f>SUM(J30,V30,V19,J21)</f>
        <v>1000</v>
      </c>
      <c r="K35" s="24">
        <f>X30+L30+X19+L21</f>
        <v>0</v>
      </c>
      <c r="L35" s="24">
        <f>ROUND(K35/10, 0)</f>
        <v>0</v>
      </c>
      <c r="M35" s="37">
        <f>ROUND(K35/J35*17,0)</f>
        <v>0</v>
      </c>
      <c r="N35" s="37"/>
    </row>
  </sheetData>
  <mergeCells count="59">
    <mergeCell ref="B7:F7"/>
    <mergeCell ref="G7:S7"/>
    <mergeCell ref="T7:T10"/>
    <mergeCell ref="U7:V7"/>
    <mergeCell ref="W7:X7"/>
    <mergeCell ref="B8:F8"/>
    <mergeCell ref="G8:S8"/>
    <mergeCell ref="U8:V8"/>
    <mergeCell ref="W8:X8"/>
    <mergeCell ref="B9:F9"/>
    <mergeCell ref="G9:I9"/>
    <mergeCell ref="L9:S9"/>
    <mergeCell ref="U9:V9"/>
    <mergeCell ref="W9:X9"/>
    <mergeCell ref="B10:F10"/>
    <mergeCell ref="G10:S10"/>
    <mergeCell ref="B2:X2"/>
    <mergeCell ref="B3:X3"/>
    <mergeCell ref="B4:X4"/>
    <mergeCell ref="B6:F6"/>
    <mergeCell ref="G6:X6"/>
    <mergeCell ref="U10:V10"/>
    <mergeCell ref="W10:X10"/>
    <mergeCell ref="B13:L13"/>
    <mergeCell ref="N13:X13"/>
    <mergeCell ref="C14:I14"/>
    <mergeCell ref="O14:U14"/>
    <mergeCell ref="C15:I15"/>
    <mergeCell ref="O15:U15"/>
    <mergeCell ref="C16:I16"/>
    <mergeCell ref="O16:U16"/>
    <mergeCell ref="C24:I24"/>
    <mergeCell ref="O24:U24"/>
    <mergeCell ref="C17:I17"/>
    <mergeCell ref="O17:U17"/>
    <mergeCell ref="C18:I18"/>
    <mergeCell ref="O18:U18"/>
    <mergeCell ref="C19:I19"/>
    <mergeCell ref="N19:U19"/>
    <mergeCell ref="C20:I20"/>
    <mergeCell ref="B21:I21"/>
    <mergeCell ref="N22:X22"/>
    <mergeCell ref="B23:L23"/>
    <mergeCell ref="O23:U23"/>
    <mergeCell ref="C25:I25"/>
    <mergeCell ref="O25:U25"/>
    <mergeCell ref="C26:I26"/>
    <mergeCell ref="O26:U26"/>
    <mergeCell ref="C27:I27"/>
    <mergeCell ref="O27:U27"/>
    <mergeCell ref="B34:I35"/>
    <mergeCell ref="M34:N34"/>
    <mergeCell ref="M35:N35"/>
    <mergeCell ref="C28:I28"/>
    <mergeCell ref="O28:U28"/>
    <mergeCell ref="C29:I29"/>
    <mergeCell ref="O29:U29"/>
    <mergeCell ref="B30:I30"/>
    <mergeCell ref="N30:U3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66CED-3257-4087-878B-1D6851CAFF68}">
  <dimension ref="B2:X35"/>
  <sheetViews>
    <sheetView topLeftCell="A7" workbookViewId="0">
      <selection activeCell="W10" sqref="W10:X10"/>
    </sheetView>
  </sheetViews>
  <sheetFormatPr baseColWidth="10" defaultColWidth="11.3984375" defaultRowHeight="14.25" x14ac:dyDescent="0.45"/>
  <cols>
    <col min="1" max="1" width="11.3984375" style="1"/>
    <col min="2" max="2" width="7.1328125" style="1" customWidth="1"/>
    <col min="3" max="7" width="5.73046875" style="1" customWidth="1"/>
    <col min="8" max="8" width="7.73046875" style="1" customWidth="1"/>
    <col min="9" max="9" width="20.86328125" style="1" customWidth="1"/>
    <col min="10" max="10" width="7.73046875" style="1" customWidth="1"/>
    <col min="11" max="12" width="10.73046875" style="1" customWidth="1"/>
    <col min="13" max="19" width="5.73046875" style="1" customWidth="1"/>
    <col min="20" max="22" width="7.73046875" style="1" customWidth="1"/>
    <col min="23" max="24" width="10.73046875" style="1" customWidth="1"/>
    <col min="25" max="16384" width="11.3984375" style="1"/>
  </cols>
  <sheetData>
    <row r="2" spans="2:24" ht="15.75" x14ac:dyDescent="0.5">
      <c r="B2" s="61" t="s">
        <v>0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3"/>
    </row>
    <row r="3" spans="2:24" ht="15.75" x14ac:dyDescent="0.5">
      <c r="B3" s="64" t="s">
        <v>1</v>
      </c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6"/>
    </row>
    <row r="4" spans="2:24" ht="15.75" x14ac:dyDescent="0.5">
      <c r="B4" s="67" t="s">
        <v>2</v>
      </c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9"/>
    </row>
    <row r="5" spans="2:24" ht="18" x14ac:dyDescent="0.55000000000000004">
      <c r="B5" s="2"/>
      <c r="C5" s="2"/>
      <c r="D5" s="2"/>
      <c r="E5" s="2"/>
      <c r="F5" s="2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4"/>
    </row>
    <row r="6" spans="2:24" ht="40.700000000000003" customHeight="1" x14ac:dyDescent="0.45">
      <c r="B6" s="70" t="s">
        <v>3</v>
      </c>
      <c r="C6" s="70"/>
      <c r="D6" s="70"/>
      <c r="E6" s="70"/>
      <c r="F6" s="70"/>
      <c r="G6" s="89" t="str">
        <f>_xlfn.CONCAT('Evaluador 1'!G6:X6,"")</f>
        <v/>
      </c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</row>
    <row r="7" spans="2:24" ht="20.100000000000001" customHeight="1" x14ac:dyDescent="0.45">
      <c r="B7" s="75" t="s">
        <v>4</v>
      </c>
      <c r="C7" s="75"/>
      <c r="D7" s="75"/>
      <c r="E7" s="75"/>
      <c r="F7" s="75"/>
      <c r="G7" s="81" t="str">
        <f>_xlfn.CONCAT('Evaluador 1'!G7:S7,"")</f>
        <v/>
      </c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3"/>
      <c r="T7" s="100"/>
      <c r="U7" s="35" t="s">
        <v>5</v>
      </c>
      <c r="V7" s="36"/>
      <c r="W7" s="81" t="str">
        <f>_xlfn.CONCAT('Evaluador 1'!W7:X7,"")</f>
        <v/>
      </c>
      <c r="X7" s="83"/>
    </row>
    <row r="8" spans="2:24" ht="20.100000000000001" customHeight="1" x14ac:dyDescent="0.45">
      <c r="B8" s="75" t="s">
        <v>6</v>
      </c>
      <c r="C8" s="75"/>
      <c r="D8" s="75"/>
      <c r="E8" s="75"/>
      <c r="F8" s="75"/>
      <c r="G8" s="81" t="str">
        <f>_xlfn.CONCAT('Evaluador 1'!G8:S8,"")</f>
        <v/>
      </c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3"/>
      <c r="T8" s="79"/>
      <c r="U8" s="84" t="s">
        <v>7</v>
      </c>
      <c r="V8" s="85"/>
      <c r="W8" s="81" t="str">
        <f>_xlfn.CONCAT('Evaluador 1'!W8:X8,"")</f>
        <v/>
      </c>
      <c r="X8" s="83"/>
    </row>
    <row r="9" spans="2:24" ht="20.100000000000001" customHeight="1" x14ac:dyDescent="0.45">
      <c r="B9" s="86" t="s">
        <v>8</v>
      </c>
      <c r="C9" s="86"/>
      <c r="D9" s="86"/>
      <c r="E9" s="86"/>
      <c r="F9" s="86"/>
      <c r="G9" s="81" t="str">
        <f>_xlfn.CONCAT('Evaluador 1'!G9:I9,"")</f>
        <v/>
      </c>
      <c r="H9" s="82"/>
      <c r="I9" s="82"/>
      <c r="J9" s="6"/>
      <c r="K9" s="7" t="s">
        <v>9</v>
      </c>
      <c r="L9" s="101" t="str">
        <f>_xlfn.CONCAT('Evaluador 1'!L9:S9,"")</f>
        <v/>
      </c>
      <c r="M9" s="101"/>
      <c r="N9" s="101"/>
      <c r="O9" s="101"/>
      <c r="P9" s="101"/>
      <c r="Q9" s="101"/>
      <c r="R9" s="101"/>
      <c r="S9" s="102"/>
      <c r="T9" s="79"/>
      <c r="U9" s="87" t="s">
        <v>10</v>
      </c>
      <c r="V9" s="88"/>
      <c r="W9" s="98" t="str">
        <f>_xlfn.CONCAT('Evaluador 1'!W9:X9,"")</f>
        <v/>
      </c>
      <c r="X9" s="99"/>
    </row>
    <row r="10" spans="2:24" ht="36" customHeight="1" x14ac:dyDescent="0.45">
      <c r="B10" s="75" t="s">
        <v>11</v>
      </c>
      <c r="C10" s="75"/>
      <c r="D10" s="75"/>
      <c r="E10" s="75"/>
      <c r="F10" s="75"/>
      <c r="G10" s="89" t="s">
        <v>47</v>
      </c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0"/>
      <c r="U10" s="53" t="s">
        <v>12</v>
      </c>
      <c r="V10" s="54"/>
      <c r="W10" s="55"/>
      <c r="X10" s="56"/>
    </row>
    <row r="13" spans="2:24" ht="20.100000000000001" customHeight="1" x14ac:dyDescent="0.45">
      <c r="B13" s="52" t="s">
        <v>13</v>
      </c>
      <c r="C13" s="52"/>
      <c r="D13" s="52"/>
      <c r="E13" s="52"/>
      <c r="F13" s="52"/>
      <c r="G13" s="52"/>
      <c r="H13" s="52"/>
      <c r="I13" s="52"/>
      <c r="J13" s="52"/>
      <c r="K13" s="52"/>
      <c r="L13" s="52"/>
      <c r="N13" s="52" t="s">
        <v>14</v>
      </c>
      <c r="O13" s="52"/>
      <c r="P13" s="52"/>
      <c r="Q13" s="52"/>
      <c r="R13" s="52"/>
      <c r="S13" s="52"/>
      <c r="T13" s="52"/>
      <c r="U13" s="52"/>
      <c r="V13" s="52"/>
      <c r="W13" s="52"/>
      <c r="X13" s="52"/>
    </row>
    <row r="14" spans="2:24" ht="20.100000000000001" customHeight="1" x14ac:dyDescent="0.45">
      <c r="B14" s="8" t="s">
        <v>15</v>
      </c>
      <c r="C14" s="57" t="s">
        <v>16</v>
      </c>
      <c r="D14" s="57"/>
      <c r="E14" s="57"/>
      <c r="F14" s="57"/>
      <c r="G14" s="57"/>
      <c r="H14" s="57"/>
      <c r="I14" s="57"/>
      <c r="J14" s="8" t="s">
        <v>17</v>
      </c>
      <c r="K14" s="8" t="s">
        <v>18</v>
      </c>
      <c r="L14" s="8" t="s">
        <v>19</v>
      </c>
      <c r="N14" s="9" t="s">
        <v>15</v>
      </c>
      <c r="O14" s="58" t="s">
        <v>16</v>
      </c>
      <c r="P14" s="59"/>
      <c r="Q14" s="59"/>
      <c r="R14" s="59"/>
      <c r="S14" s="59"/>
      <c r="T14" s="59"/>
      <c r="U14" s="60"/>
      <c r="V14" s="9" t="s">
        <v>17</v>
      </c>
      <c r="W14" s="9" t="s">
        <v>18</v>
      </c>
      <c r="X14" s="8" t="s">
        <v>19</v>
      </c>
    </row>
    <row r="15" spans="2:24" ht="20.100000000000001" customHeight="1" x14ac:dyDescent="0.45">
      <c r="B15" s="10">
        <v>1</v>
      </c>
      <c r="C15" s="44" t="s">
        <v>20</v>
      </c>
      <c r="D15" s="44"/>
      <c r="E15" s="44"/>
      <c r="F15" s="44"/>
      <c r="G15" s="44"/>
      <c r="H15" s="44"/>
      <c r="I15" s="44"/>
      <c r="J15" s="11">
        <v>40</v>
      </c>
      <c r="K15" s="12" t="e">
        <f>ROUND(AVERAGE('Evaluador 1'!K15), 0)</f>
        <v>#DIV/0!</v>
      </c>
      <c r="L15" s="13" t="e">
        <f>ROUND(K15/17*J15,0)</f>
        <v>#DIV/0!</v>
      </c>
      <c r="N15" s="14">
        <v>7</v>
      </c>
      <c r="O15" s="25" t="s">
        <v>21</v>
      </c>
      <c r="P15" s="25"/>
      <c r="Q15" s="25"/>
      <c r="R15" s="25"/>
      <c r="S15" s="25"/>
      <c r="T15" s="25"/>
      <c r="U15" s="25"/>
      <c r="V15" s="15">
        <v>30</v>
      </c>
      <c r="W15" s="16" t="e">
        <f>ROUND(AVERAGE('Evaluador 1'!W15), 0)</f>
        <v>#DIV/0!</v>
      </c>
      <c r="X15" s="13" t="e">
        <f>ROUND(W15/17*V15,0)</f>
        <v>#DIV/0!</v>
      </c>
    </row>
    <row r="16" spans="2:24" ht="20.100000000000001" customHeight="1" x14ac:dyDescent="0.45">
      <c r="B16" s="17">
        <v>2</v>
      </c>
      <c r="C16" s="44" t="s">
        <v>22</v>
      </c>
      <c r="D16" s="44"/>
      <c r="E16" s="44"/>
      <c r="F16" s="44"/>
      <c r="G16" s="44"/>
      <c r="H16" s="44"/>
      <c r="I16" s="44"/>
      <c r="J16" s="15">
        <v>10</v>
      </c>
      <c r="K16" s="12" t="e">
        <f>ROUND(AVERAGE('Evaluador 1'!K16), 0)</f>
        <v>#DIV/0!</v>
      </c>
      <c r="L16" s="13" t="e">
        <f t="shared" ref="L16:L21" si="0">ROUND(K16/17*J16,0)</f>
        <v>#DIV/0!</v>
      </c>
      <c r="N16" s="14">
        <v>8</v>
      </c>
      <c r="O16" s="25" t="s">
        <v>23</v>
      </c>
      <c r="P16" s="25"/>
      <c r="Q16" s="25"/>
      <c r="R16" s="25"/>
      <c r="S16" s="25"/>
      <c r="T16" s="25"/>
      <c r="U16" s="25"/>
      <c r="V16" s="15">
        <v>30</v>
      </c>
      <c r="W16" s="16" t="e">
        <f>ROUND(AVERAGE('Evaluador 1'!W16), 0)</f>
        <v>#DIV/0!</v>
      </c>
      <c r="X16" s="13" t="e">
        <f t="shared" ref="X16:X18" si="1">ROUND(W16/17*V16,0)</f>
        <v>#DIV/0!</v>
      </c>
    </row>
    <row r="17" spans="2:24" ht="20.100000000000001" customHeight="1" x14ac:dyDescent="0.45">
      <c r="B17" s="17">
        <v>3</v>
      </c>
      <c r="C17" s="44" t="s">
        <v>24</v>
      </c>
      <c r="D17" s="44"/>
      <c r="E17" s="44"/>
      <c r="F17" s="44"/>
      <c r="G17" s="44"/>
      <c r="H17" s="44"/>
      <c r="I17" s="44"/>
      <c r="J17" s="15">
        <v>20</v>
      </c>
      <c r="K17" s="12" t="e">
        <f>ROUND(AVERAGE('Evaluador 1'!K17), 0)</f>
        <v>#DIV/0!</v>
      </c>
      <c r="L17" s="13" t="e">
        <f t="shared" si="0"/>
        <v>#DIV/0!</v>
      </c>
      <c r="N17" s="14">
        <v>9</v>
      </c>
      <c r="O17" s="25" t="s">
        <v>25</v>
      </c>
      <c r="P17" s="25"/>
      <c r="Q17" s="25"/>
      <c r="R17" s="25"/>
      <c r="S17" s="25"/>
      <c r="T17" s="25"/>
      <c r="U17" s="25"/>
      <c r="V17" s="15">
        <v>30</v>
      </c>
      <c r="W17" s="16" t="e">
        <f>ROUND(AVERAGE('Evaluador 1'!W17), 0)</f>
        <v>#DIV/0!</v>
      </c>
      <c r="X17" s="13" t="e">
        <f t="shared" si="1"/>
        <v>#DIV/0!</v>
      </c>
    </row>
    <row r="18" spans="2:24" ht="20.100000000000001" customHeight="1" x14ac:dyDescent="0.45">
      <c r="B18" s="17">
        <v>4</v>
      </c>
      <c r="C18" s="44" t="s">
        <v>26</v>
      </c>
      <c r="D18" s="44"/>
      <c r="E18" s="44"/>
      <c r="F18" s="44"/>
      <c r="G18" s="44"/>
      <c r="H18" s="44"/>
      <c r="I18" s="44"/>
      <c r="J18" s="15">
        <v>20</v>
      </c>
      <c r="K18" s="12" t="e">
        <f>ROUND(AVERAGE('Evaluador 1'!K18), 0)</f>
        <v>#DIV/0!</v>
      </c>
      <c r="L18" s="13" t="e">
        <f t="shared" si="0"/>
        <v>#DIV/0!</v>
      </c>
      <c r="N18" s="14">
        <v>10</v>
      </c>
      <c r="O18" s="25" t="s">
        <v>27</v>
      </c>
      <c r="P18" s="25"/>
      <c r="Q18" s="25"/>
      <c r="R18" s="25"/>
      <c r="S18" s="25"/>
      <c r="T18" s="25"/>
      <c r="U18" s="25"/>
      <c r="V18" s="15">
        <v>60</v>
      </c>
      <c r="W18" s="16" t="e">
        <f>ROUND(AVERAGE('Evaluador 1'!W18), 0)</f>
        <v>#DIV/0!</v>
      </c>
      <c r="X18" s="13" t="e">
        <f t="shared" si="1"/>
        <v>#DIV/0!</v>
      </c>
    </row>
    <row r="19" spans="2:24" ht="20.100000000000001" customHeight="1" x14ac:dyDescent="0.45">
      <c r="B19" s="17">
        <v>5</v>
      </c>
      <c r="C19" s="44" t="s">
        <v>46</v>
      </c>
      <c r="D19" s="44"/>
      <c r="E19" s="44"/>
      <c r="F19" s="44"/>
      <c r="G19" s="44"/>
      <c r="H19" s="44"/>
      <c r="I19" s="44"/>
      <c r="J19" s="15">
        <v>20</v>
      </c>
      <c r="K19" s="12" t="e">
        <f>ROUND(AVERAGE('Evaluador 1'!K19), 0)</f>
        <v>#DIV/0!</v>
      </c>
      <c r="L19" s="13" t="e">
        <f t="shared" si="0"/>
        <v>#DIV/0!</v>
      </c>
      <c r="N19" s="46" t="s">
        <v>28</v>
      </c>
      <c r="O19" s="47"/>
      <c r="P19" s="47"/>
      <c r="Q19" s="47"/>
      <c r="R19" s="47"/>
      <c r="S19" s="47"/>
      <c r="T19" s="47"/>
      <c r="U19" s="48"/>
      <c r="V19" s="18">
        <f>SUM(V15:V18)</f>
        <v>150</v>
      </c>
      <c r="W19" s="13" t="e">
        <f>ROUND((W15*V15+W16*V16+W17*V17+W18*V18)/V19, 0)</f>
        <v>#DIV/0!</v>
      </c>
      <c r="X19" s="13" t="e">
        <f>ROUND(W19/17*V19,0)</f>
        <v>#DIV/0!</v>
      </c>
    </row>
    <row r="20" spans="2:24" ht="20.100000000000001" customHeight="1" x14ac:dyDescent="0.45">
      <c r="B20" s="17">
        <v>6</v>
      </c>
      <c r="C20" s="44" t="s">
        <v>29</v>
      </c>
      <c r="D20" s="44"/>
      <c r="E20" s="44"/>
      <c r="F20" s="44"/>
      <c r="G20" s="44"/>
      <c r="H20" s="44"/>
      <c r="I20" s="44"/>
      <c r="J20" s="15">
        <v>50</v>
      </c>
      <c r="K20" s="12" t="e">
        <f>ROUND(AVERAGE('Evaluador 1'!K20), 0)</f>
        <v>#DIV/0!</v>
      </c>
      <c r="L20" s="13" t="e">
        <f t="shared" si="0"/>
        <v>#DIV/0!</v>
      </c>
    </row>
    <row r="21" spans="2:24" ht="20.100000000000001" customHeight="1" x14ac:dyDescent="0.45">
      <c r="B21" s="41" t="s">
        <v>28</v>
      </c>
      <c r="C21" s="42"/>
      <c r="D21" s="42"/>
      <c r="E21" s="42"/>
      <c r="F21" s="42"/>
      <c r="G21" s="42"/>
      <c r="H21" s="42"/>
      <c r="I21" s="43"/>
      <c r="J21" s="14">
        <f>SUM(J15:J20)</f>
        <v>160</v>
      </c>
      <c r="K21" s="19" t="e">
        <f>ROUND((K15*J15+K16*J16+K17*J17+K18*J18+K19*J19+K20*J20)/J21, 0)</f>
        <v>#DIV/0!</v>
      </c>
      <c r="L21" s="13" t="e">
        <f t="shared" si="0"/>
        <v>#DIV/0!</v>
      </c>
    </row>
    <row r="22" spans="2:24" ht="20.100000000000001" customHeight="1" x14ac:dyDescent="0.45">
      <c r="N22" s="49" t="s">
        <v>30</v>
      </c>
      <c r="O22" s="50"/>
      <c r="P22" s="50"/>
      <c r="Q22" s="50"/>
      <c r="R22" s="50"/>
      <c r="S22" s="50"/>
      <c r="T22" s="50"/>
      <c r="U22" s="50"/>
      <c r="V22" s="50"/>
      <c r="W22" s="50"/>
      <c r="X22" s="51"/>
    </row>
    <row r="23" spans="2:24" ht="20.100000000000001" customHeight="1" x14ac:dyDescent="0.45">
      <c r="B23" s="52" t="s">
        <v>31</v>
      </c>
      <c r="C23" s="52"/>
      <c r="D23" s="52"/>
      <c r="E23" s="52"/>
      <c r="F23" s="52"/>
      <c r="G23" s="52"/>
      <c r="H23" s="52"/>
      <c r="I23" s="52"/>
      <c r="J23" s="52"/>
      <c r="K23" s="52"/>
      <c r="L23" s="52"/>
      <c r="N23" s="20" t="s">
        <v>15</v>
      </c>
      <c r="O23" s="32" t="s">
        <v>32</v>
      </c>
      <c r="P23" s="33"/>
      <c r="Q23" s="33"/>
      <c r="R23" s="33"/>
      <c r="S23" s="33"/>
      <c r="T23" s="33"/>
      <c r="U23" s="34"/>
      <c r="V23" s="21" t="s">
        <v>17</v>
      </c>
      <c r="W23" s="9" t="s">
        <v>18</v>
      </c>
      <c r="X23" s="20" t="s">
        <v>19</v>
      </c>
    </row>
    <row r="24" spans="2:24" ht="20.100000000000001" customHeight="1" x14ac:dyDescent="0.45">
      <c r="B24" s="8" t="s">
        <v>15</v>
      </c>
      <c r="C24" s="35" t="s">
        <v>16</v>
      </c>
      <c r="D24" s="45"/>
      <c r="E24" s="45"/>
      <c r="F24" s="45"/>
      <c r="G24" s="45"/>
      <c r="H24" s="45"/>
      <c r="I24" s="36"/>
      <c r="J24" s="5" t="s">
        <v>17</v>
      </c>
      <c r="K24" s="8" t="s">
        <v>18</v>
      </c>
      <c r="L24" s="8" t="s">
        <v>19</v>
      </c>
      <c r="N24" s="18">
        <v>16</v>
      </c>
      <c r="O24" s="26" t="s">
        <v>33</v>
      </c>
      <c r="P24" s="27"/>
      <c r="Q24" s="27"/>
      <c r="R24" s="27"/>
      <c r="S24" s="27"/>
      <c r="T24" s="27"/>
      <c r="U24" s="28"/>
      <c r="V24" s="22">
        <v>70</v>
      </c>
      <c r="W24" s="16" t="e">
        <f>ROUND(AVERAGE('Evaluador 1'!W24), 0)</f>
        <v>#DIV/0!</v>
      </c>
      <c r="X24" s="13" t="e">
        <f>ROUND(W24/17*V24, 0)</f>
        <v>#DIV/0!</v>
      </c>
    </row>
    <row r="25" spans="2:24" ht="20.100000000000001" customHeight="1" x14ac:dyDescent="0.45">
      <c r="B25" s="14">
        <v>11</v>
      </c>
      <c r="C25" s="25" t="s">
        <v>34</v>
      </c>
      <c r="D25" s="25"/>
      <c r="E25" s="25"/>
      <c r="F25" s="25"/>
      <c r="G25" s="25"/>
      <c r="H25" s="25"/>
      <c r="I25" s="25"/>
      <c r="J25" s="15">
        <v>70</v>
      </c>
      <c r="K25" s="16" t="e">
        <f>ROUND(AVERAGE('Evaluador 1'!K25), 0)</f>
        <v>#DIV/0!</v>
      </c>
      <c r="L25" s="13" t="e">
        <f>ROUND(K25/17*J25,0)</f>
        <v>#DIV/0!</v>
      </c>
      <c r="N25" s="18">
        <v>17</v>
      </c>
      <c r="O25" s="26" t="s">
        <v>35</v>
      </c>
      <c r="P25" s="27"/>
      <c r="Q25" s="27"/>
      <c r="R25" s="27"/>
      <c r="S25" s="27"/>
      <c r="T25" s="27"/>
      <c r="U25" s="28"/>
      <c r="V25" s="22">
        <v>50</v>
      </c>
      <c r="W25" s="16" t="e">
        <f>ROUND(AVERAGE('Evaluador 1'!W25), 0)</f>
        <v>#DIV/0!</v>
      </c>
      <c r="X25" s="13" t="e">
        <f t="shared" ref="X25:X28" si="2">ROUND(W25/17*V25, 0)</f>
        <v>#DIV/0!</v>
      </c>
    </row>
    <row r="26" spans="2:24" ht="20.100000000000001" customHeight="1" x14ac:dyDescent="0.45">
      <c r="B26" s="14">
        <v>12</v>
      </c>
      <c r="C26" s="25" t="s">
        <v>36</v>
      </c>
      <c r="D26" s="25"/>
      <c r="E26" s="25"/>
      <c r="F26" s="25"/>
      <c r="G26" s="25"/>
      <c r="H26" s="25"/>
      <c r="I26" s="25"/>
      <c r="J26" s="15">
        <v>70</v>
      </c>
      <c r="K26" s="16" t="e">
        <f>ROUND(AVERAGE('Evaluador 1'!K26), 0)</f>
        <v>#DIV/0!</v>
      </c>
      <c r="L26" s="13" t="e">
        <f t="shared" ref="L26:L28" si="3">ROUND(K26/17*J26,0)</f>
        <v>#DIV/0!</v>
      </c>
      <c r="N26" s="18">
        <v>18</v>
      </c>
      <c r="O26" s="26" t="s">
        <v>37</v>
      </c>
      <c r="P26" s="27"/>
      <c r="Q26" s="27"/>
      <c r="R26" s="27"/>
      <c r="S26" s="27"/>
      <c r="T26" s="27"/>
      <c r="U26" s="28"/>
      <c r="V26" s="22">
        <v>50</v>
      </c>
      <c r="W26" s="16" t="e">
        <f>ROUND(AVERAGE('Evaluador 1'!W26), 0)</f>
        <v>#DIV/0!</v>
      </c>
      <c r="X26" s="13" t="e">
        <f t="shared" si="2"/>
        <v>#DIV/0!</v>
      </c>
    </row>
    <row r="27" spans="2:24" ht="20.100000000000001" customHeight="1" x14ac:dyDescent="0.45">
      <c r="B27" s="14">
        <v>13</v>
      </c>
      <c r="C27" s="25" t="s">
        <v>38</v>
      </c>
      <c r="D27" s="25"/>
      <c r="E27" s="25"/>
      <c r="F27" s="25"/>
      <c r="G27" s="25"/>
      <c r="H27" s="25"/>
      <c r="I27" s="25"/>
      <c r="J27" s="15">
        <v>70</v>
      </c>
      <c r="K27" s="16" t="e">
        <f>ROUND(AVERAGE('Evaluador 1'!K27), 0)</f>
        <v>#DIV/0!</v>
      </c>
      <c r="L27" s="13" t="e">
        <f t="shared" si="3"/>
        <v>#DIV/0!</v>
      </c>
      <c r="N27" s="18">
        <v>19</v>
      </c>
      <c r="O27" s="26" t="s">
        <v>39</v>
      </c>
      <c r="P27" s="27"/>
      <c r="Q27" s="27"/>
      <c r="R27" s="27"/>
      <c r="S27" s="27"/>
      <c r="T27" s="27"/>
      <c r="U27" s="28"/>
      <c r="V27" s="22">
        <v>70</v>
      </c>
      <c r="W27" s="16" t="e">
        <f>ROUND(AVERAGE('Evaluador 1'!W27), 0)</f>
        <v>#DIV/0!</v>
      </c>
      <c r="X27" s="13" t="e">
        <f t="shared" si="2"/>
        <v>#DIV/0!</v>
      </c>
    </row>
    <row r="28" spans="2:24" ht="20.100000000000001" customHeight="1" x14ac:dyDescent="0.45">
      <c r="B28" s="14">
        <v>14</v>
      </c>
      <c r="C28" s="25" t="s">
        <v>40</v>
      </c>
      <c r="D28" s="25"/>
      <c r="E28" s="25"/>
      <c r="F28" s="25"/>
      <c r="G28" s="25"/>
      <c r="H28" s="25"/>
      <c r="I28" s="25"/>
      <c r="J28" s="15">
        <v>70</v>
      </c>
      <c r="K28" s="16" t="e">
        <f>ROUND(AVERAGE('Evaluador 1'!K28), 0)</f>
        <v>#DIV/0!</v>
      </c>
      <c r="L28" s="13" t="e">
        <f t="shared" si="3"/>
        <v>#DIV/0!</v>
      </c>
      <c r="N28" s="18">
        <v>20</v>
      </c>
      <c r="O28" s="26" t="s">
        <v>41</v>
      </c>
      <c r="P28" s="27"/>
      <c r="Q28" s="27"/>
      <c r="R28" s="27"/>
      <c r="S28" s="27"/>
      <c r="T28" s="27"/>
      <c r="U28" s="28"/>
      <c r="V28" s="22">
        <v>50</v>
      </c>
      <c r="W28" s="16" t="e">
        <f>ROUND(AVERAGE('Evaluador 1'!W28), 0)</f>
        <v>#DIV/0!</v>
      </c>
      <c r="X28" s="13" t="e">
        <f t="shared" si="2"/>
        <v>#DIV/0!</v>
      </c>
    </row>
    <row r="29" spans="2:24" ht="20.100000000000001" customHeight="1" x14ac:dyDescent="0.45">
      <c r="B29" s="14">
        <v>15</v>
      </c>
      <c r="C29" s="38" t="s">
        <v>42</v>
      </c>
      <c r="D29" s="39"/>
      <c r="E29" s="39"/>
      <c r="F29" s="39"/>
      <c r="G29" s="39"/>
      <c r="H29" s="39"/>
      <c r="I29" s="40"/>
      <c r="J29" s="23">
        <v>70</v>
      </c>
      <c r="K29" s="16" t="e">
        <f>ROUND(AVERAGE('Evaluador 1'!K29), 0)</f>
        <v>#DIV/0!</v>
      </c>
      <c r="L29" s="13" t="e">
        <f>L30-SUM(L25:L28)</f>
        <v>#DIV/0!</v>
      </c>
      <c r="N29" s="18">
        <v>21</v>
      </c>
      <c r="O29" s="26" t="s">
        <v>43</v>
      </c>
      <c r="P29" s="27"/>
      <c r="Q29" s="27"/>
      <c r="R29" s="27"/>
      <c r="S29" s="27"/>
      <c r="T29" s="27"/>
      <c r="U29" s="28"/>
      <c r="V29" s="22">
        <v>50</v>
      </c>
      <c r="W29" s="16" t="e">
        <f>ROUND(AVERAGE('Evaluador 1'!W29), 0)</f>
        <v>#DIV/0!</v>
      </c>
      <c r="X29" s="13" t="e">
        <f>X30-SUM(X24:X28)</f>
        <v>#DIV/0!</v>
      </c>
    </row>
    <row r="30" spans="2:24" ht="20.100000000000001" customHeight="1" x14ac:dyDescent="0.45">
      <c r="B30" s="41" t="s">
        <v>28</v>
      </c>
      <c r="C30" s="42"/>
      <c r="D30" s="42"/>
      <c r="E30" s="42"/>
      <c r="F30" s="42"/>
      <c r="G30" s="42"/>
      <c r="H30" s="42"/>
      <c r="I30" s="43"/>
      <c r="J30" s="14">
        <f>SUM(J25:J29)</f>
        <v>350</v>
      </c>
      <c r="K30" s="13" t="e">
        <f>ROUND((K25*J25+K26*J26+K27*J27+K28*J28+K29*J29)/J30, 0)</f>
        <v>#DIV/0!</v>
      </c>
      <c r="L30" s="13" t="e">
        <f>ROUND(K30/17*J30,0)</f>
        <v>#DIV/0!</v>
      </c>
      <c r="N30" s="41" t="s">
        <v>28</v>
      </c>
      <c r="O30" s="42"/>
      <c r="P30" s="42"/>
      <c r="Q30" s="42"/>
      <c r="R30" s="42"/>
      <c r="S30" s="42"/>
      <c r="T30" s="42"/>
      <c r="U30" s="43"/>
      <c r="V30" s="14">
        <f>SUM(V24:V29)</f>
        <v>340</v>
      </c>
      <c r="W30" s="19" t="e">
        <f>ROUND((W24*V24+W25*V25+W26*V26+W27*V27+W28*V28+W29*V29)/V30, 0)</f>
        <v>#DIV/0!</v>
      </c>
      <c r="X30" s="19" t="e">
        <f>ROUND(W30/17*V30,0)</f>
        <v>#DIV/0!</v>
      </c>
    </row>
    <row r="33" spans="2:14" ht="20.100000000000001" customHeight="1" x14ac:dyDescent="0.45"/>
    <row r="34" spans="2:14" ht="24.95" customHeight="1" x14ac:dyDescent="0.45">
      <c r="B34" s="29" t="s">
        <v>44</v>
      </c>
      <c r="C34" s="30"/>
      <c r="D34" s="30"/>
      <c r="E34" s="30"/>
      <c r="F34" s="30"/>
      <c r="G34" s="30"/>
      <c r="H34" s="30"/>
      <c r="I34" s="31"/>
      <c r="J34" s="8" t="s">
        <v>17</v>
      </c>
      <c r="K34" s="8" t="s">
        <v>19</v>
      </c>
      <c r="L34" s="8" t="s">
        <v>18</v>
      </c>
      <c r="M34" s="35" t="s">
        <v>45</v>
      </c>
      <c r="N34" s="36"/>
    </row>
    <row r="35" spans="2:14" x14ac:dyDescent="0.45">
      <c r="B35" s="32"/>
      <c r="C35" s="33"/>
      <c r="D35" s="33"/>
      <c r="E35" s="33"/>
      <c r="F35" s="33"/>
      <c r="G35" s="33"/>
      <c r="H35" s="33"/>
      <c r="I35" s="34"/>
      <c r="J35" s="24">
        <f>SUM(J30,V30,V19,J21)</f>
        <v>1000</v>
      </c>
      <c r="K35" s="24" t="e">
        <f>X30+L30+X19+L21</f>
        <v>#DIV/0!</v>
      </c>
      <c r="L35" s="24" t="e">
        <f>ROUND(K35/10, 0)</f>
        <v>#DIV/0!</v>
      </c>
      <c r="M35" s="37" t="e">
        <f>ROUND(K35/J35*17,0)</f>
        <v>#DIV/0!</v>
      </c>
      <c r="N35" s="37"/>
    </row>
  </sheetData>
  <mergeCells count="59">
    <mergeCell ref="B7:F7"/>
    <mergeCell ref="G7:S7"/>
    <mergeCell ref="T7:T10"/>
    <mergeCell ref="U7:V7"/>
    <mergeCell ref="W7:X7"/>
    <mergeCell ref="B8:F8"/>
    <mergeCell ref="G8:S8"/>
    <mergeCell ref="U8:V8"/>
    <mergeCell ref="W8:X8"/>
    <mergeCell ref="B9:F9"/>
    <mergeCell ref="G9:I9"/>
    <mergeCell ref="L9:S9"/>
    <mergeCell ref="U9:V9"/>
    <mergeCell ref="W9:X9"/>
    <mergeCell ref="B10:F10"/>
    <mergeCell ref="G10:S10"/>
    <mergeCell ref="B2:X2"/>
    <mergeCell ref="B3:X3"/>
    <mergeCell ref="B4:X4"/>
    <mergeCell ref="B6:F6"/>
    <mergeCell ref="G6:X6"/>
    <mergeCell ref="U10:V10"/>
    <mergeCell ref="W10:X10"/>
    <mergeCell ref="B13:L13"/>
    <mergeCell ref="N13:X13"/>
    <mergeCell ref="C14:I14"/>
    <mergeCell ref="O14:U14"/>
    <mergeCell ref="C15:I15"/>
    <mergeCell ref="O15:U15"/>
    <mergeCell ref="C16:I16"/>
    <mergeCell ref="O16:U16"/>
    <mergeCell ref="C24:I24"/>
    <mergeCell ref="O24:U24"/>
    <mergeCell ref="C17:I17"/>
    <mergeCell ref="O17:U17"/>
    <mergeCell ref="C18:I18"/>
    <mergeCell ref="O18:U18"/>
    <mergeCell ref="C19:I19"/>
    <mergeCell ref="N19:U19"/>
    <mergeCell ref="C20:I20"/>
    <mergeCell ref="B21:I21"/>
    <mergeCell ref="N22:X22"/>
    <mergeCell ref="B23:L23"/>
    <mergeCell ref="O23:U23"/>
    <mergeCell ref="C25:I25"/>
    <mergeCell ref="O25:U25"/>
    <mergeCell ref="C26:I26"/>
    <mergeCell ref="O26:U26"/>
    <mergeCell ref="C27:I27"/>
    <mergeCell ref="O27:U27"/>
    <mergeCell ref="B34:I35"/>
    <mergeCell ref="M34:N34"/>
    <mergeCell ref="M35:N35"/>
    <mergeCell ref="C28:I28"/>
    <mergeCell ref="O28:U28"/>
    <mergeCell ref="C29:I29"/>
    <mergeCell ref="O29:U29"/>
    <mergeCell ref="B30:I30"/>
    <mergeCell ref="N30:U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Evaluador 1</vt:lpstr>
      <vt:lpstr>Evaluador 2</vt:lpstr>
      <vt:lpstr>Evaluador 3</vt:lpstr>
      <vt:lpstr>Promedio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</dc:creator>
  <cp:lastModifiedBy>Blandy Pamplona</cp:lastModifiedBy>
  <dcterms:created xsi:type="dcterms:W3CDTF">2023-05-30T20:26:44Z</dcterms:created>
  <dcterms:modified xsi:type="dcterms:W3CDTF">2023-05-31T02:43:37Z</dcterms:modified>
</cp:coreProperties>
</file>