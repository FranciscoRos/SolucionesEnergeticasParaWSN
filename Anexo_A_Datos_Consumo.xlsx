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mich\Documents\SolucionesEnergeticasParaWSN\"/>
    </mc:Choice>
  </mc:AlternateContent>
  <xr:revisionPtr revIDLastSave="0" documentId="13_ncr:1_{1B080AE0-6226-4794-B8B6-959AB8A4B573}" xr6:coauthVersionLast="47" xr6:coauthVersionMax="47" xr10:uidLastSave="{00000000-0000-0000-0000-000000000000}"/>
  <bookViews>
    <workbookView xWindow="-108" yWindow="-108" windowWidth="23256" windowHeight="12456" activeTab="2" xr2:uid="{16E32420-E92C-48F4-9AFE-AC6FE85723F6}"/>
  </bookViews>
  <sheets>
    <sheet name="Gráfico1" sheetId="2" r:id="rId1"/>
    <sheet name="Gráfico2" sheetId="3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" i="1"/>
  <c r="N22" i="1"/>
  <c r="N23" i="1"/>
  <c r="N24" i="1"/>
  <c r="N25" i="1"/>
  <c r="N38" i="1"/>
  <c r="N3" i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M23" i="1"/>
  <c r="M24" i="1"/>
  <c r="M25" i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" i="1"/>
</calcChain>
</file>

<file path=xl/sharedStrings.xml><?xml version="1.0" encoding="utf-8"?>
<sst xmlns="http://schemas.openxmlformats.org/spreadsheetml/2006/main" count="124" uniqueCount="29">
  <si>
    <t>XBEE</t>
  </si>
  <si>
    <t>ID</t>
  </si>
  <si>
    <t>SOFTWARE</t>
  </si>
  <si>
    <t>HARDAWARE</t>
  </si>
  <si>
    <t>RADIO</t>
  </si>
  <si>
    <t>BASICO</t>
  </si>
  <si>
    <t>MB102</t>
  </si>
  <si>
    <t>LOW</t>
  </si>
  <si>
    <t>HIGH</t>
  </si>
  <si>
    <t>MP1584</t>
  </si>
  <si>
    <t>LoRa</t>
  </si>
  <si>
    <t>NRF24L01</t>
  </si>
  <si>
    <t>CONSUMO</t>
  </si>
  <si>
    <t>ADAPTIVE</t>
  </si>
  <si>
    <t>CODEC</t>
  </si>
  <si>
    <t>ADAPTIVE + CODEC</t>
  </si>
  <si>
    <t>CODEC + ENERGY</t>
  </si>
  <si>
    <t>CODEC + ENERGY + ADAPTATIVE</t>
  </si>
  <si>
    <t>ENERGY</t>
  </si>
  <si>
    <t>ENERGY + ADAPTIVE</t>
  </si>
  <si>
    <t>CODEC + ENERGY + ADAPTIVE</t>
  </si>
  <si>
    <t>TIEMPO DE TRABAJO</t>
  </si>
  <si>
    <t>CARGA EN DESCANSO (mA * Ms)</t>
  </si>
  <si>
    <t>CONSUMO DE TRABAJO (mA * Ms)</t>
  </si>
  <si>
    <t>CONSUMO TOTAL POR CICLO mA</t>
  </si>
  <si>
    <t>HORAS QUE SOPORTARÍA</t>
  </si>
  <si>
    <t>DÍAS</t>
  </si>
  <si>
    <t>LOW (mAh)</t>
  </si>
  <si>
    <t>capacidad de la batería (mAh):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</si>
</sst>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526239"/>
        <c:axId val="1399618911"/>
      </c:barChart>
      <c:catAx>
        <c:axId val="1042526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9618911"/>
        <c:crosses val="autoZero"/>
        <c:auto val="1"/>
        <c:lblAlgn val="ctr"/>
        <c:lblOffset val="100"/>
        <c:noMultiLvlLbl val="0"/>
      </c:catAx>
      <c:valAx>
        <c:axId val="139961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252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049087"/>
        <c:axId val="1158053247"/>
      </c:barChart>
      <c:catAx>
        <c:axId val="1158049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8053247"/>
        <c:crosses val="autoZero"/>
        <c:auto val="1"/>
        <c:lblAlgn val="ctr"/>
        <c:lblOffset val="100"/>
        <c:noMultiLvlLbl val="0"/>
      </c:catAx>
      <c:valAx>
        <c:axId val="115805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804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Duración en días con</a:t>
            </a:r>
            <a:r>
              <a:rPr lang="es-MX" baseline="0"/>
              <a:t> Radio</a:t>
            </a:r>
            <a:r>
              <a:rPr lang="es-MX"/>
              <a:t> Lora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Hoja1!$C$3:$D$14</c:f>
              <c:multiLvlStrCache>
                <c:ptCount val="12"/>
                <c:lvl>
                  <c:pt idx="0">
                    <c:v>MB102</c:v>
                  </c:pt>
                  <c:pt idx="1">
                    <c:v>MP1584</c:v>
                  </c:pt>
                  <c:pt idx="2">
                    <c:v>MP1584</c:v>
                  </c:pt>
                  <c:pt idx="3">
                    <c:v>MB102</c:v>
                  </c:pt>
                  <c:pt idx="4">
                    <c:v>MP1584</c:v>
                  </c:pt>
                  <c:pt idx="5">
                    <c:v>MP1584</c:v>
                  </c:pt>
                  <c:pt idx="6">
                    <c:v>MB102</c:v>
                  </c:pt>
                  <c:pt idx="7">
                    <c:v>MP1584</c:v>
                  </c:pt>
                  <c:pt idx="8">
                    <c:v>MP1584</c:v>
                  </c:pt>
                  <c:pt idx="9">
                    <c:v>MB102</c:v>
                  </c:pt>
                  <c:pt idx="10">
                    <c:v>MP1584</c:v>
                  </c:pt>
                  <c:pt idx="11">
                    <c:v>MP1584</c:v>
                  </c:pt>
                </c:lvl>
                <c:lvl>
                  <c:pt idx="0">
                    <c:v>BASICO</c:v>
                  </c:pt>
                  <c:pt idx="1">
                    <c:v>BASICO</c:v>
                  </c:pt>
                  <c:pt idx="2">
                    <c:v>ADAPTIVE</c:v>
                  </c:pt>
                  <c:pt idx="3">
                    <c:v>ADAPTIVE</c:v>
                  </c:pt>
                  <c:pt idx="4">
                    <c:v>ENERGY</c:v>
                  </c:pt>
                  <c:pt idx="5">
                    <c:v>ENERGY + ADAPTIVE</c:v>
                  </c:pt>
                  <c:pt idx="6">
                    <c:v>ADAPTIVE + CODEC</c:v>
                  </c:pt>
                  <c:pt idx="7">
                    <c:v>ADAPTIVE + CODEC</c:v>
                  </c:pt>
                  <c:pt idx="8">
                    <c:v>CODEC</c:v>
                  </c:pt>
                  <c:pt idx="9">
                    <c:v>CODEC</c:v>
                  </c:pt>
                  <c:pt idx="10">
                    <c:v>CODEC + ENERGY</c:v>
                  </c:pt>
                  <c:pt idx="11">
                    <c:v>CODEC + ENERGY + ADAPTIVE</c:v>
                  </c:pt>
                </c:lvl>
              </c:multiLvlStrCache>
            </c:multiLvlStrRef>
          </c:cat>
          <c:val>
            <c:numRef>
              <c:f>Hoja1!$N$3:$N$14</c:f>
              <c:numCache>
                <c:formatCode>0.00</c:formatCode>
                <c:ptCount val="12"/>
                <c:pt idx="0">
                  <c:v>2.4801125442188385</c:v>
                </c:pt>
                <c:pt idx="1">
                  <c:v>5.3691885156862478</c:v>
                </c:pt>
                <c:pt idx="2">
                  <c:v>9.3411125710612293</c:v>
                </c:pt>
                <c:pt idx="3">
                  <c:v>2.7520524640072783</c:v>
                </c:pt>
                <c:pt idx="4">
                  <c:v>38.549808141944197</c:v>
                </c:pt>
                <c:pt idx="5">
                  <c:v>38.548117713481581</c:v>
                </c:pt>
                <c:pt idx="6">
                  <c:v>2.4772034552808218</c:v>
                </c:pt>
                <c:pt idx="7">
                  <c:v>5.9352268046856258</c:v>
                </c:pt>
                <c:pt idx="8">
                  <c:v>5.3418733719273304</c:v>
                </c:pt>
                <c:pt idx="9">
                  <c:v>2.327757328949533</c:v>
                </c:pt>
                <c:pt idx="10">
                  <c:v>33.590590499987009</c:v>
                </c:pt>
                <c:pt idx="11">
                  <c:v>37.861770446960882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5-416A-9043-86EB6413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963119"/>
        <c:axId val="1045962703"/>
      </c:barChart>
      <c:catAx>
        <c:axId val="104596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5962703"/>
        <c:crosses val="autoZero"/>
        <c:auto val="1"/>
        <c:lblAlgn val="ctr"/>
        <c:lblOffset val="100"/>
        <c:noMultiLvlLbl val="0"/>
      </c:catAx>
      <c:valAx>
        <c:axId val="10459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59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Duración en días con Radio </a:t>
            </a:r>
            <a:r>
              <a:rPr lang="es-MX" sz="1400" b="0" i="0" u="none" strike="noStrike" baseline="0">
                <a:effectLst/>
              </a:rPr>
              <a:t>NRF24L01 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014672504279693E-2"/>
          <c:y val="1.2555740793206743E-2"/>
          <c:w val="0.90985327495720303"/>
          <c:h val="0.773788048367546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Hoja1!$C$15:$D$26</c:f>
              <c:multiLvlStrCache>
                <c:ptCount val="12"/>
                <c:lvl>
                  <c:pt idx="0">
                    <c:v>MB102</c:v>
                  </c:pt>
                  <c:pt idx="1">
                    <c:v>MP1584</c:v>
                  </c:pt>
                  <c:pt idx="2">
                    <c:v>MB102</c:v>
                  </c:pt>
                  <c:pt idx="3">
                    <c:v>MP1584</c:v>
                  </c:pt>
                  <c:pt idx="4">
                    <c:v>MP1584</c:v>
                  </c:pt>
                  <c:pt idx="5">
                    <c:v>MP1584</c:v>
                  </c:pt>
                  <c:pt idx="6">
                    <c:v>MB102</c:v>
                  </c:pt>
                  <c:pt idx="7">
                    <c:v>MP1584</c:v>
                  </c:pt>
                  <c:pt idx="8">
                    <c:v>MB102</c:v>
                  </c:pt>
                  <c:pt idx="9">
                    <c:v>MP1584</c:v>
                  </c:pt>
                  <c:pt idx="10">
                    <c:v>MP1584</c:v>
                  </c:pt>
                  <c:pt idx="11">
                    <c:v>MP1584</c:v>
                  </c:pt>
                </c:lvl>
                <c:lvl>
                  <c:pt idx="0">
                    <c:v>BASICO</c:v>
                  </c:pt>
                  <c:pt idx="1">
                    <c:v>BASICO</c:v>
                  </c:pt>
                  <c:pt idx="2">
                    <c:v>ADAPTIVE</c:v>
                  </c:pt>
                  <c:pt idx="3">
                    <c:v>ADAPTIVE</c:v>
                  </c:pt>
                  <c:pt idx="4">
                    <c:v>ENERGY</c:v>
                  </c:pt>
                  <c:pt idx="5">
                    <c:v>ENERGY + ADAPTIVE</c:v>
                  </c:pt>
                  <c:pt idx="6">
                    <c:v>ADAPTIVE + CODEC</c:v>
                  </c:pt>
                  <c:pt idx="7">
                    <c:v>ADAPTIVE + CODEC</c:v>
                  </c:pt>
                  <c:pt idx="8">
                    <c:v>CODEC</c:v>
                  </c:pt>
                  <c:pt idx="9">
                    <c:v>CODEC</c:v>
                  </c:pt>
                  <c:pt idx="10">
                    <c:v>CODEC + ENERGY</c:v>
                  </c:pt>
                  <c:pt idx="11">
                    <c:v>CODEC + ENERGY + ADAPTATIVE</c:v>
                  </c:pt>
                </c:lvl>
              </c:multiLvlStrCache>
            </c:multiLvlStrRef>
          </c:cat>
          <c:val>
            <c:numRef>
              <c:f>Hoja1!$N$15:$N$26</c:f>
              <c:numCache>
                <c:formatCode>0.00</c:formatCode>
                <c:ptCount val="12"/>
                <c:pt idx="0">
                  <c:v>1.7565884052287533</c:v>
                </c:pt>
                <c:pt idx="1">
                  <c:v>2.3148094654965465</c:v>
                </c:pt>
                <c:pt idx="2">
                  <c:v>2.4029206699073584</c:v>
                </c:pt>
                <c:pt idx="3">
                  <c:v>5.4537399386552581</c:v>
                </c:pt>
                <c:pt idx="4">
                  <c:v>20.031544316098557</c:v>
                </c:pt>
                <c:pt idx="5">
                  <c:v>19.83753355828345</c:v>
                </c:pt>
                <c:pt idx="6">
                  <c:v>2.3864059836632676</c:v>
                </c:pt>
                <c:pt idx="7">
                  <c:v>5.1062075783162717</c:v>
                </c:pt>
                <c:pt idx="8">
                  <c:v>2.3864068882997542</c:v>
                </c:pt>
                <c:pt idx="9">
                  <c:v>2.5070195792790217</c:v>
                </c:pt>
                <c:pt idx="10">
                  <c:v>14.171201564279349</c:v>
                </c:pt>
                <c:pt idx="11">
                  <c:v>19.838272918746725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D-4F81-9CF9-F66EDCCA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110575"/>
        <c:axId val="1158126799"/>
      </c:barChart>
      <c:catAx>
        <c:axId val="115811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8126799"/>
        <c:crosses val="autoZero"/>
        <c:auto val="1"/>
        <c:lblAlgn val="ctr"/>
        <c:lblOffset val="100"/>
        <c:noMultiLvlLbl val="0"/>
      </c:catAx>
      <c:valAx>
        <c:axId val="115812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811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u="none"/>
              <a:t>Duración en días con Radio Xbee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Hoja1!$C$27:$D$38</c:f>
              <c:multiLvlStrCache>
                <c:ptCount val="12"/>
                <c:lvl>
                  <c:pt idx="0">
                    <c:v>MB102</c:v>
                  </c:pt>
                  <c:pt idx="1">
                    <c:v>MP1584</c:v>
                  </c:pt>
                  <c:pt idx="2">
                    <c:v>MB102</c:v>
                  </c:pt>
                  <c:pt idx="3">
                    <c:v>MP1584</c:v>
                  </c:pt>
                  <c:pt idx="4">
                    <c:v>MP1584</c:v>
                  </c:pt>
                  <c:pt idx="5">
                    <c:v>MP1584</c:v>
                  </c:pt>
                  <c:pt idx="6">
                    <c:v>MB102</c:v>
                  </c:pt>
                  <c:pt idx="7">
                    <c:v>MP1584</c:v>
                  </c:pt>
                  <c:pt idx="8">
                    <c:v>MB102</c:v>
                  </c:pt>
                  <c:pt idx="9">
                    <c:v>MP1584</c:v>
                  </c:pt>
                  <c:pt idx="10">
                    <c:v>MP1584</c:v>
                  </c:pt>
                  <c:pt idx="11">
                    <c:v>MP1584</c:v>
                  </c:pt>
                </c:lvl>
                <c:lvl>
                  <c:pt idx="0">
                    <c:v>BASICO</c:v>
                  </c:pt>
                  <c:pt idx="1">
                    <c:v>BASICO</c:v>
                  </c:pt>
                  <c:pt idx="2">
                    <c:v>ADAPTIVE</c:v>
                  </c:pt>
                  <c:pt idx="3">
                    <c:v>ADAPTIVE</c:v>
                  </c:pt>
                  <c:pt idx="4">
                    <c:v>ENERGY</c:v>
                  </c:pt>
                  <c:pt idx="5">
                    <c:v>ENERGY + ADAPTIVE</c:v>
                  </c:pt>
                  <c:pt idx="6">
                    <c:v>ADAPTIVE + CODEC</c:v>
                  </c:pt>
                  <c:pt idx="7">
                    <c:v>ADAPTIVE + CODEC</c:v>
                  </c:pt>
                  <c:pt idx="8">
                    <c:v>CODEC</c:v>
                  </c:pt>
                  <c:pt idx="9">
                    <c:v>CODEC</c:v>
                  </c:pt>
                  <c:pt idx="10">
                    <c:v>CODEC + ENERGY</c:v>
                  </c:pt>
                  <c:pt idx="11">
                    <c:v>CODEC + ENERGY + ADAPTATIVE</c:v>
                  </c:pt>
                </c:lvl>
              </c:multiLvlStrCache>
            </c:multiLvlStrRef>
          </c:cat>
          <c:val>
            <c:numRef>
              <c:f>Hoja1!$N$27:$N$38</c:f>
              <c:numCache>
                <c:formatCode>0.00</c:formatCode>
                <c:ptCount val="12"/>
                <c:pt idx="0">
                  <c:v>3.0909664535102075</c:v>
                </c:pt>
                <c:pt idx="1">
                  <c:v>10.262010992338087</c:v>
                </c:pt>
                <c:pt idx="2">
                  <c:v>2.7889270684399272</c:v>
                </c:pt>
                <c:pt idx="3">
                  <c:v>6.0737843033085257</c:v>
                </c:pt>
                <c:pt idx="4">
                  <c:v>13.102411323842459</c:v>
                </c:pt>
                <c:pt idx="5">
                  <c:v>15.782311791465672</c:v>
                </c:pt>
                <c:pt idx="6">
                  <c:v>3.0547353682039398</c:v>
                </c:pt>
                <c:pt idx="7">
                  <c:v>9.9205013282909515</c:v>
                </c:pt>
                <c:pt idx="8">
                  <c:v>3.1422747746169359</c:v>
                </c:pt>
                <c:pt idx="9">
                  <c:v>10.212136027116632</c:v>
                </c:pt>
                <c:pt idx="10">
                  <c:v>10.521793413444652</c:v>
                </c:pt>
                <c:pt idx="11">
                  <c:v>10.811160989168448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A-40AD-BEA2-9214C4643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469951"/>
        <c:axId val="1251472863"/>
      </c:barChart>
      <c:catAx>
        <c:axId val="125146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1472863"/>
        <c:crosses val="autoZero"/>
        <c:auto val="1"/>
        <c:lblAlgn val="ctr"/>
        <c:lblOffset val="100"/>
        <c:noMultiLvlLbl val="0"/>
      </c:catAx>
      <c:valAx>
        <c:axId val="125147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146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0" i="0" baseline="0">
                <a:effectLst/>
              </a:rPr>
              <a:t>Días de duración con hardware y software sin mejoras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42A-464D-B86F-19C763A9BC6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2A-464D-B86F-19C763A9BC6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42A-464D-B86F-19C763A9BC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(Hoja1!$E$3,Hoja1!$E$15,Hoja1!$E$27)</c:f>
              <c:strCache>
                <c:ptCount val="3"/>
                <c:pt idx="0">
                  <c:v>LoRa</c:v>
                </c:pt>
                <c:pt idx="1">
                  <c:v>NRF24L01</c:v>
                </c:pt>
                <c:pt idx="2">
                  <c:v>XBEE</c:v>
                </c:pt>
              </c:strCache>
            </c:strRef>
          </c:cat>
          <c:val>
            <c:numRef>
              <c:f>(Hoja1!$N$3,Hoja1!$N$15,Hoja1!$N$27)</c:f>
              <c:numCache>
                <c:formatCode>0.00</c:formatCode>
                <c:ptCount val="3"/>
                <c:pt idx="0">
                  <c:v>2.4801125442188385</c:v>
                </c:pt>
                <c:pt idx="1">
                  <c:v>1.7565884052287533</c:v>
                </c:pt>
                <c:pt idx="2">
                  <c:v>3.0909664535102075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A-464D-B86F-19C763A9B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167663"/>
        <c:axId val="1255170159"/>
      </c:barChart>
      <c:catAx>
        <c:axId val="12551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5170159"/>
        <c:crosses val="autoZero"/>
        <c:auto val="1"/>
        <c:lblAlgn val="ctr"/>
        <c:lblOffset val="100"/>
        <c:noMultiLvlLbl val="0"/>
      </c:catAx>
      <c:valAx>
        <c:axId val="125517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516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accent2">
          <a:lumMod val="75000"/>
        </a:scheme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0" i="0" baseline="0">
                <a:effectLst/>
              </a:rPr>
              <a:t>Días de duración con hardware y software optimizados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20-4CBA-AAF1-3B576BE58A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20-4CBA-AAF1-3B576BE58A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220-4CBA-AAF1-3B576BE58A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(Hoja1!$E$14,Hoja1!$E$26,Hoja1!$E$38)</c:f>
              <c:strCache>
                <c:ptCount val="3"/>
                <c:pt idx="0">
                  <c:v>LoRa</c:v>
                </c:pt>
                <c:pt idx="1">
                  <c:v>NRF24L01</c:v>
                </c:pt>
                <c:pt idx="2">
                  <c:v>XBEE</c:v>
                </c:pt>
              </c:strCache>
            </c:strRef>
          </c:cat>
          <c:val>
            <c:numRef>
              <c:f>(Hoja1!$N$14,Hoja1!$N$26,Hoja1!$N$38)</c:f>
              <c:numCache>
                <c:formatCode>0.00</c:formatCode>
                <c:ptCount val="3"/>
                <c:pt idx="0">
                  <c:v>37.861770446960882</c:v>
                </c:pt>
                <c:pt idx="1">
                  <c:v>19.838272918746725</c:v>
                </c:pt>
                <c:pt idx="2">
                  <c:v>10.811160989168448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0-4CBA-AAF1-3B576BE58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190543"/>
        <c:axId val="1552512975"/>
      </c:barChart>
      <c:catAx>
        <c:axId val="139419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2512975"/>
        <c:crosses val="autoZero"/>
        <c:auto val="1"/>
        <c:lblAlgn val="ctr"/>
        <c:lblOffset val="100"/>
        <c:noMultiLvlLbl val="0"/>
      </c:catAx>
      <c:valAx>
        <c:axId val="155251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41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20000"/>
          <a:lumOff val="80000"/>
          <a:alpha val="93000"/>
        </a:schemeClr>
      </a:solidFill>
      <a:round/>
    </a:ln>
    <a:effectLst>
      <a:outerShdw blurRad="50800" dist="50800" dir="5400000" algn="ctr" rotWithShape="0">
        <a:schemeClr val="accent3">
          <a:lumMod val="20000"/>
          <a:lumOff val="80000"/>
        </a:scheme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Consumo por</a:t>
            </a:r>
            <a:r>
              <a:rPr lang="es-MX" baseline="0"/>
              <a:t> nodo </a:t>
            </a:r>
            <a:r>
              <a:rPr lang="es-MX"/>
              <a:t>en modo de trabajo </a:t>
            </a:r>
          </a:p>
          <a:p>
            <a:pPr>
              <a:defRPr/>
            </a:pPr>
            <a:r>
              <a:rPr lang="es-MX"/>
              <a:t>optimizados (mAh)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Hoja1!$G$2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32-444F-9F1A-DBBFBDE7A8B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32-444F-9F1A-DBBFBDE7A8B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F32-444F-9F1A-DBBFBDE7A8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(Hoja1!$E$14,Hoja1!$E$26,Hoja1!$E$38)</c:f>
              <c:strCache>
                <c:ptCount val="3"/>
                <c:pt idx="0">
                  <c:v>LoRa</c:v>
                </c:pt>
                <c:pt idx="1">
                  <c:v>NRF24L01</c:v>
                </c:pt>
                <c:pt idx="2">
                  <c:v>XBEE</c:v>
                </c:pt>
              </c:strCache>
            </c:strRef>
          </c:cat>
          <c:val>
            <c:numRef>
              <c:f>(Hoja1!$G$14,Hoja1!$G$26,Hoja1!$G$38)</c:f>
              <c:numCache>
                <c:formatCode>General</c:formatCode>
                <c:ptCount val="3"/>
                <c:pt idx="0">
                  <c:v>54.4</c:v>
                </c:pt>
                <c:pt idx="1">
                  <c:v>42.8</c:v>
                </c:pt>
                <c:pt idx="2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2-444F-9F1A-DBBFBDE7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984927"/>
        <c:axId val="1251969951"/>
      </c:barChart>
      <c:catAx>
        <c:axId val="12519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1969951"/>
        <c:crosses val="autoZero"/>
        <c:auto val="1"/>
        <c:lblAlgn val="ctr"/>
        <c:lblOffset val="100"/>
        <c:noMultiLvlLbl val="0"/>
      </c:catAx>
      <c:valAx>
        <c:axId val="125196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198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0" i="0" baseline="0">
                <a:effectLst/>
              </a:rPr>
              <a:t>Consumo por nodo en modo de Reposo </a:t>
            </a:r>
            <a:endParaRPr lang="es-MX">
              <a:effectLst/>
            </a:endParaRPr>
          </a:p>
          <a:p>
            <a:pPr>
              <a:defRPr/>
            </a:pPr>
            <a:r>
              <a:rPr lang="es-MX" sz="1800" b="0" i="0" baseline="0">
                <a:effectLst/>
              </a:rPr>
              <a:t>optimizados (mAh)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>
          <a:glow rad="127000">
            <a:schemeClr val="accent1">
              <a:alpha val="93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2801892300867424E-2"/>
          <c:y val="0.2055524301110663"/>
          <c:w val="0.90266100425907969"/>
          <c:h val="0.705573772004742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5A0-4092-9B7D-73351F1B924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A0-4092-9B7D-73351F1B924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5A0-4092-9B7D-73351F1B92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(Hoja1!$E$14,Hoja1!$E$26,Hoja1!$E$38)</c:f>
              <c:strCache>
                <c:ptCount val="3"/>
                <c:pt idx="0">
                  <c:v>LoRa</c:v>
                </c:pt>
                <c:pt idx="1">
                  <c:v>NRF24L01</c:v>
                </c:pt>
                <c:pt idx="2">
                  <c:v>XBEE</c:v>
                </c:pt>
              </c:strCache>
            </c:strRef>
          </c:cat>
          <c:val>
            <c:numRef>
              <c:f>(Hoja1!$F$14,Hoja1!$F$26,Hoja1!$F$38)</c:f>
              <c:numCache>
                <c:formatCode>General</c:formatCode>
                <c:ptCount val="3"/>
                <c:pt idx="0">
                  <c:v>5.5</c:v>
                </c:pt>
                <c:pt idx="1">
                  <c:v>10.5</c:v>
                </c:pt>
                <c:pt idx="2">
                  <c:v>19.27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0-4092-9B7D-73351F1B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955311"/>
        <c:axId val="1201959471"/>
      </c:barChart>
      <c:catAx>
        <c:axId val="12019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1959471"/>
        <c:crosses val="autoZero"/>
        <c:auto val="1"/>
        <c:lblAlgn val="ctr"/>
        <c:lblOffset val="100"/>
        <c:noMultiLvlLbl val="0"/>
      </c:catAx>
      <c:valAx>
        <c:axId val="1201959471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195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2000"/>
              <a:t>Relación del consumo (mAh) con el</a:t>
            </a:r>
            <a:r>
              <a:rPr lang="es-MX" sz="2000" baseline="0"/>
              <a:t> tiempo </a:t>
            </a:r>
            <a:r>
              <a:rPr lang="es-MX" sz="2000"/>
              <a:t>que</a:t>
            </a:r>
            <a:r>
              <a:rPr lang="es-MX" sz="2000" baseline="0"/>
              <a:t> dura el nodo (días)</a:t>
            </a:r>
            <a:endParaRPr lang="es-MX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Hoja1!$L$2</c:f>
              <c:strCache>
                <c:ptCount val="1"/>
                <c:pt idx="0">
                  <c:v>CONSUMO TOTAL POR CICLO mA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Hoja1!$C$3:$D$14</c:f>
              <c:multiLvlStrCache>
                <c:ptCount val="12"/>
                <c:lvl>
                  <c:pt idx="0">
                    <c:v>MB102</c:v>
                  </c:pt>
                  <c:pt idx="1">
                    <c:v>MP1584</c:v>
                  </c:pt>
                  <c:pt idx="2">
                    <c:v>MP1584</c:v>
                  </c:pt>
                  <c:pt idx="3">
                    <c:v>MB102</c:v>
                  </c:pt>
                  <c:pt idx="4">
                    <c:v>MP1584</c:v>
                  </c:pt>
                  <c:pt idx="5">
                    <c:v>MP1584</c:v>
                  </c:pt>
                  <c:pt idx="6">
                    <c:v>MB102</c:v>
                  </c:pt>
                  <c:pt idx="7">
                    <c:v>MP1584</c:v>
                  </c:pt>
                  <c:pt idx="8">
                    <c:v>MP1584</c:v>
                  </c:pt>
                  <c:pt idx="9">
                    <c:v>MB102</c:v>
                  </c:pt>
                  <c:pt idx="10">
                    <c:v>MP1584</c:v>
                  </c:pt>
                  <c:pt idx="11">
                    <c:v>MP1584</c:v>
                  </c:pt>
                </c:lvl>
                <c:lvl>
                  <c:pt idx="0">
                    <c:v>BASICO</c:v>
                  </c:pt>
                  <c:pt idx="1">
                    <c:v>BASICO</c:v>
                  </c:pt>
                  <c:pt idx="2">
                    <c:v>ADAPTIVE</c:v>
                  </c:pt>
                  <c:pt idx="3">
                    <c:v>ADAPTIVE</c:v>
                  </c:pt>
                  <c:pt idx="4">
                    <c:v>ENERGY</c:v>
                  </c:pt>
                  <c:pt idx="5">
                    <c:v>ENERGY + ADAPTIVE</c:v>
                  </c:pt>
                  <c:pt idx="6">
                    <c:v>ADAPTIVE + CODEC</c:v>
                  </c:pt>
                  <c:pt idx="7">
                    <c:v>ADAPTIVE + CODEC</c:v>
                  </c:pt>
                  <c:pt idx="8">
                    <c:v>CODEC</c:v>
                  </c:pt>
                  <c:pt idx="9">
                    <c:v>CODEC</c:v>
                  </c:pt>
                  <c:pt idx="10">
                    <c:v>CODEC + ENERGY</c:v>
                  </c:pt>
                  <c:pt idx="11">
                    <c:v>CODEC + ENERGY + ADAPTIVE</c:v>
                  </c:pt>
                </c:lvl>
              </c:multiLvlStrCache>
            </c:multiLvlStrRef>
          </c:cat>
          <c:val>
            <c:numRef>
              <c:f>Hoja1!$L$3:$L$14</c:f>
              <c:numCache>
                <c:formatCode>0.0000</c:formatCode>
                <c:ptCount val="12"/>
                <c:pt idx="0">
                  <c:v>84.001564291491505</c:v>
                </c:pt>
                <c:pt idx="1">
                  <c:v>38.801642506066074</c:v>
                </c:pt>
                <c:pt idx="2">
                  <c:v>22.302839383260412</c:v>
                </c:pt>
                <c:pt idx="3">
                  <c:v>75.701076217848708</c:v>
                </c:pt>
                <c:pt idx="4">
                  <c:v>5.4042638180254867</c:v>
                </c:pt>
                <c:pt idx="5">
                  <c:v>5.4045008081022887</c:v>
                </c:pt>
                <c:pt idx="6">
                  <c:v>84.100211021914703</c:v>
                </c:pt>
                <c:pt idx="7">
                  <c:v>35.101157915121703</c:v>
                </c:pt>
                <c:pt idx="8">
                  <c:v>39.000050886299341</c:v>
                </c:pt>
                <c:pt idx="9">
                  <c:v>89.499592909605269</c:v>
                </c:pt>
                <c:pt idx="10">
                  <c:v>6.2021336997161125</c:v>
                </c:pt>
                <c:pt idx="11">
                  <c:v>5.5024720416912256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7-42A9-AE7E-410472737A89}"/>
            </c:ext>
          </c:extLst>
        </c:ser>
        <c:ser>
          <c:idx val="1"/>
          <c:order val="1"/>
          <c:tx>
            <c:strRef>
              <c:f>Hoja1!$N$2</c:f>
              <c:strCache>
                <c:ptCount val="1"/>
                <c:pt idx="0">
                  <c:v>DÍAS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Hoja1!$C$3:$D$14</c:f>
              <c:multiLvlStrCache>
                <c:ptCount val="12"/>
                <c:lvl>
                  <c:pt idx="0">
                    <c:v>MB102</c:v>
                  </c:pt>
                  <c:pt idx="1">
                    <c:v>MP1584</c:v>
                  </c:pt>
                  <c:pt idx="2">
                    <c:v>MP1584</c:v>
                  </c:pt>
                  <c:pt idx="3">
                    <c:v>MB102</c:v>
                  </c:pt>
                  <c:pt idx="4">
                    <c:v>MP1584</c:v>
                  </c:pt>
                  <c:pt idx="5">
                    <c:v>MP1584</c:v>
                  </c:pt>
                  <c:pt idx="6">
                    <c:v>MB102</c:v>
                  </c:pt>
                  <c:pt idx="7">
                    <c:v>MP1584</c:v>
                  </c:pt>
                  <c:pt idx="8">
                    <c:v>MP1584</c:v>
                  </c:pt>
                  <c:pt idx="9">
                    <c:v>MB102</c:v>
                  </c:pt>
                  <c:pt idx="10">
                    <c:v>MP1584</c:v>
                  </c:pt>
                  <c:pt idx="11">
                    <c:v>MP1584</c:v>
                  </c:pt>
                </c:lvl>
                <c:lvl>
                  <c:pt idx="0">
                    <c:v>BASICO</c:v>
                  </c:pt>
                  <c:pt idx="1">
                    <c:v>BASICO</c:v>
                  </c:pt>
                  <c:pt idx="2">
                    <c:v>ADAPTIVE</c:v>
                  </c:pt>
                  <c:pt idx="3">
                    <c:v>ADAPTIVE</c:v>
                  </c:pt>
                  <c:pt idx="4">
                    <c:v>ENERGY</c:v>
                  </c:pt>
                  <c:pt idx="5">
                    <c:v>ENERGY + ADAPTIVE</c:v>
                  </c:pt>
                  <c:pt idx="6">
                    <c:v>ADAPTIVE + CODEC</c:v>
                  </c:pt>
                  <c:pt idx="7">
                    <c:v>ADAPTIVE + CODEC</c:v>
                  </c:pt>
                  <c:pt idx="8">
                    <c:v>CODEC</c:v>
                  </c:pt>
                  <c:pt idx="9">
                    <c:v>CODEC</c:v>
                  </c:pt>
                  <c:pt idx="10">
                    <c:v>CODEC + ENERGY</c:v>
                  </c:pt>
                  <c:pt idx="11">
                    <c:v>CODEC + ENERGY + ADAPTIVE</c:v>
                  </c:pt>
                </c:lvl>
              </c:multiLvlStrCache>
            </c:multiLvlStrRef>
          </c:cat>
          <c:val>
            <c:numRef>
              <c:f>Hoja1!$N$3:$N$14</c:f>
              <c:numCache>
                <c:formatCode>0.00</c:formatCode>
                <c:ptCount val="12"/>
                <c:pt idx="0">
                  <c:v>2.4801125442188385</c:v>
                </c:pt>
                <c:pt idx="1">
                  <c:v>5.3691885156862478</c:v>
                </c:pt>
                <c:pt idx="2">
                  <c:v>9.3411125710612293</c:v>
                </c:pt>
                <c:pt idx="3">
                  <c:v>2.7520524640072783</c:v>
                </c:pt>
                <c:pt idx="4">
                  <c:v>38.549808141944197</c:v>
                </c:pt>
                <c:pt idx="5">
                  <c:v>38.548117713481581</c:v>
                </c:pt>
                <c:pt idx="6">
                  <c:v>2.4772034552808218</c:v>
                </c:pt>
                <c:pt idx="7">
                  <c:v>5.9352268046856258</c:v>
                </c:pt>
                <c:pt idx="8">
                  <c:v>5.3418733719273304</c:v>
                </c:pt>
                <c:pt idx="9">
                  <c:v>2.327757328949533</c:v>
                </c:pt>
                <c:pt idx="10">
                  <c:v>33.590590499987009</c:v>
                </c:pt>
                <c:pt idx="11">
                  <c:v>37.861770446960882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7-42A9-AE7E-410472737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4346031"/>
        <c:axId val="1164343119"/>
      </c:barChart>
      <c:catAx>
        <c:axId val="1164346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Días</a:t>
                </a:r>
              </a:p>
            </c:rich>
          </c:tx>
          <c:layout>
            <c:manualLayout>
              <c:xMode val="edge"/>
              <c:yMode val="edge"/>
              <c:x val="0.97363430764408909"/>
              <c:y val="0.414354762089188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343119"/>
        <c:crosses val="autoZero"/>
        <c:auto val="1"/>
        <c:lblAlgn val="ctr"/>
        <c:lblOffset val="100"/>
        <c:noMultiLvlLbl val="0"/>
      </c:catAx>
      <c:valAx>
        <c:axId val="116434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346031"/>
        <c:crosses val="autoZero"/>
        <c:crossBetween val="between"/>
      </c:valAx>
      <c:spPr>
        <a:noFill/>
        <a:ln>
          <a:noFill/>
        </a:ln>
        <a:effectLst>
          <a:outerShdw blurRad="50800" dist="50800" algn="ctr" rotWithShape="0">
            <a:srgbClr val="000000">
              <a:alpha val="43137"/>
            </a:srgb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Tiempo de </a:t>
            </a:r>
            <a:r>
              <a:rPr lang="es-MX" baseline="0"/>
              <a:t> trabajo por software (ms)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23F-438F-A5E5-4863975602D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3F-438F-A5E5-4863975602D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3F-438F-A5E5-4863975602D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23F-438F-A5E5-4863975602D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23F-438F-A5E5-4863975602D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3F-438F-A5E5-486397560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(Hoja1!$A$3,Hoja1!$A$11,Hoja1!$A$15,Hoja1!$A$23,Hoja1!$A$27,Hoja1!$A$35)</c:f>
              <c:strCache>
                <c:ptCount val="6"/>
                <c:pt idx="0">
                  <c:v>BASICO LoRa</c:v>
                </c:pt>
                <c:pt idx="1">
                  <c:v>CODEC LoRa</c:v>
                </c:pt>
                <c:pt idx="2">
                  <c:v>BASICO NRF24L01</c:v>
                </c:pt>
                <c:pt idx="3">
                  <c:v>CODEC NRF24L01</c:v>
                </c:pt>
                <c:pt idx="4">
                  <c:v>BASICO XBEE</c:v>
                </c:pt>
                <c:pt idx="5">
                  <c:v>CODEC XBEE</c:v>
                </c:pt>
              </c:strCache>
            </c:strRef>
          </c:cat>
          <c:val>
            <c:numRef>
              <c:f>(Hoja1!$I$3,Hoja1!$I$11,Hoja1!$I$15,Hoja1!$I$23,Hoja1!$I$27,Hoja1!$I$35)</c:f>
              <c:numCache>
                <c:formatCode>General</c:formatCode>
                <c:ptCount val="6"/>
                <c:pt idx="0">
                  <c:v>88</c:v>
                </c:pt>
                <c:pt idx="1">
                  <c:v>45.8</c:v>
                </c:pt>
                <c:pt idx="2">
                  <c:v>78</c:v>
                </c:pt>
                <c:pt idx="3">
                  <c:v>22.6</c:v>
                </c:pt>
                <c:pt idx="4">
                  <c:v>90</c:v>
                </c:pt>
                <c:pt idx="5">
                  <c:v>18.7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F-438F-A5E5-486397560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077600"/>
        <c:axId val="373078016"/>
      </c:barChart>
      <c:catAx>
        <c:axId val="37307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3078016"/>
        <c:crosses val="autoZero"/>
        <c:auto val="1"/>
        <c:lblAlgn val="ctr"/>
        <c:lblOffset val="100"/>
        <c:noMultiLvlLbl val="0"/>
      </c:catAx>
      <c:valAx>
        <c:axId val="3730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307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987ACB-45D2-4379-9D9B-0DFD1C436A46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24E982-66FE-488C-A8FF-8B9CC44D4037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11C367-30D9-4A3B-BCD9-D4B7B77656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589797-4F0F-410F-A79A-63C9B9504B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164124</xdr:colOff>
      <xdr:row>2</xdr:row>
      <xdr:rowOff>20877</xdr:rowOff>
    </xdr:from>
    <xdr:to>
      <xdr:col>22</xdr:col>
      <xdr:colOff>470647</xdr:colOff>
      <xdr:row>25</xdr:row>
      <xdr:rowOff>29883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986359B-9C30-4C80-A622-214FC82F1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62630</xdr:colOff>
      <xdr:row>1</xdr:row>
      <xdr:rowOff>38100</xdr:rowOff>
    </xdr:from>
    <xdr:to>
      <xdr:col>31</xdr:col>
      <xdr:colOff>814192</xdr:colOff>
      <xdr:row>25</xdr:row>
      <xdr:rowOff>125261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6B4BD12-72CC-44A3-8177-9CB38DB8C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250521</xdr:colOff>
      <xdr:row>2</xdr:row>
      <xdr:rowOff>25551</xdr:rowOff>
    </xdr:from>
    <xdr:to>
      <xdr:col>42</xdr:col>
      <xdr:colOff>772438</xdr:colOff>
      <xdr:row>26</xdr:row>
      <xdr:rowOff>20878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3133739-50EB-4535-8BB0-BDA75450E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198817</xdr:colOff>
      <xdr:row>27</xdr:row>
      <xdr:rowOff>37897</xdr:rowOff>
    </xdr:from>
    <xdr:to>
      <xdr:col>21</xdr:col>
      <xdr:colOff>879010</xdr:colOff>
      <xdr:row>48</xdr:row>
      <xdr:rowOff>53162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74BC1D1-C87F-46AD-B885-0EDF01E0F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283535</xdr:colOff>
      <xdr:row>27</xdr:row>
      <xdr:rowOff>28353</xdr:rowOff>
    </xdr:from>
    <xdr:to>
      <xdr:col>28</xdr:col>
      <xdr:colOff>778933</xdr:colOff>
      <xdr:row>48</xdr:row>
      <xdr:rowOff>118533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0A77CB8-88D4-4293-99F7-9DC2AD809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12289</xdr:colOff>
      <xdr:row>52</xdr:row>
      <xdr:rowOff>43017</xdr:rowOff>
    </xdr:from>
    <xdr:to>
      <xdr:col>21</xdr:col>
      <xdr:colOff>829597</xdr:colOff>
      <xdr:row>74</xdr:row>
      <xdr:rowOff>77840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7D0C5EE-E908-4BC9-B134-15B71CD22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129049</xdr:colOff>
      <xdr:row>52</xdr:row>
      <xdr:rowOff>73742</xdr:rowOff>
    </xdr:from>
    <xdr:to>
      <xdr:col>28</xdr:col>
      <xdr:colOff>774290</xdr:colOff>
      <xdr:row>74</xdr:row>
      <xdr:rowOff>9443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37D9710-615F-45F7-94FA-342649570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632961</xdr:colOff>
      <xdr:row>74</xdr:row>
      <xdr:rowOff>93058</xdr:rowOff>
    </xdr:from>
    <xdr:to>
      <xdr:col>27</xdr:col>
      <xdr:colOff>774096</xdr:colOff>
      <xdr:row>118</xdr:row>
      <xdr:rowOff>26924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546D847-DC8D-40D3-8B53-16DF68E96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546297</xdr:colOff>
      <xdr:row>41</xdr:row>
      <xdr:rowOff>130517</xdr:rowOff>
    </xdr:from>
    <xdr:to>
      <xdr:col>12</xdr:col>
      <xdr:colOff>500342</xdr:colOff>
      <xdr:row>57</xdr:row>
      <xdr:rowOff>45173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9F6B32-2427-43DD-9797-437936D90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4C8B-A099-47B7-BA2E-F5A7D41331DF}">
  <dimension ref="A1:O38"/>
  <sheetViews>
    <sheetView tabSelected="1" topLeftCell="J2" zoomScale="200" zoomScaleNormal="100" workbookViewId="0">
      <selection activeCell="N8" sqref="N8"/>
    </sheetView>
  </sheetViews>
  <sheetFormatPr baseColWidth="10" defaultColWidth="11.5546875" defaultRowHeight="14.4" x14ac:dyDescent="0.3"/>
  <cols>
    <col min="1" max="2" width="11.5546875" style="4"/>
    <col min="3" max="3" width="28.5546875" style="4" bestFit="1" customWidth="1"/>
    <col min="4" max="4" width="11.77734375" style="4" bestFit="1" customWidth="1"/>
    <col min="5" max="7" width="11.5546875" style="4"/>
    <col min="8" max="8" width="11.44140625" style="4" customWidth="1"/>
    <col min="9" max="9" width="11.5546875" style="4"/>
    <col min="10" max="10" width="29.21875" style="4" bestFit="1" customWidth="1"/>
    <col min="11" max="11" width="30.44140625" style="4" bestFit="1" customWidth="1"/>
    <col min="12" max="12" width="29.88671875" style="4" bestFit="1" customWidth="1"/>
    <col min="13" max="13" width="23.21875" style="4" bestFit="1" customWidth="1"/>
    <col min="14" max="16384" width="11.5546875" style="4"/>
  </cols>
  <sheetData>
    <row r="1" spans="1:15" x14ac:dyDescent="0.3">
      <c r="B1" s="2"/>
      <c r="C1" s="2"/>
      <c r="D1" s="2"/>
      <c r="E1" s="2"/>
      <c r="F1" s="31" t="s">
        <v>12</v>
      </c>
      <c r="G1" s="31"/>
      <c r="H1" s="31" t="s">
        <v>21</v>
      </c>
      <c r="I1" s="31"/>
      <c r="L1" s="26" t="s">
        <v>28</v>
      </c>
      <c r="M1" s="26">
        <v>5000</v>
      </c>
    </row>
    <row r="2" spans="1:15" x14ac:dyDescent="0.3">
      <c r="B2" s="5" t="s">
        <v>1</v>
      </c>
      <c r="C2" s="5" t="s">
        <v>2</v>
      </c>
      <c r="D2" s="5" t="s">
        <v>3</v>
      </c>
      <c r="E2" s="5" t="s">
        <v>4</v>
      </c>
      <c r="F2" s="5" t="s">
        <v>27</v>
      </c>
      <c r="G2" s="5" t="s">
        <v>8</v>
      </c>
      <c r="H2" s="5" t="s">
        <v>7</v>
      </c>
      <c r="I2" s="5" t="s">
        <v>8</v>
      </c>
      <c r="J2" s="5" t="s">
        <v>22</v>
      </c>
      <c r="K2" s="5" t="s">
        <v>23</v>
      </c>
      <c r="L2" s="1" t="s">
        <v>24</v>
      </c>
      <c r="M2" s="1" t="s">
        <v>25</v>
      </c>
      <c r="N2" s="1" t="s">
        <v>26</v>
      </c>
    </row>
    <row r="3" spans="1:15" x14ac:dyDescent="0.3">
      <c r="A3" s="4" t="str">
        <f>C3 &amp;" "&amp;E3</f>
        <v>BASICO LoRa</v>
      </c>
      <c r="B3" s="6">
        <v>1</v>
      </c>
      <c r="C3" s="6" t="s">
        <v>5</v>
      </c>
      <c r="D3" s="6" t="s">
        <v>6</v>
      </c>
      <c r="E3" s="6" t="s">
        <v>10</v>
      </c>
      <c r="F3" s="11">
        <v>84</v>
      </c>
      <c r="G3" s="15">
        <v>100</v>
      </c>
      <c r="H3" s="3">
        <v>900000</v>
      </c>
      <c r="I3" s="15">
        <v>88</v>
      </c>
      <c r="J3" s="6">
        <f>F3*H3</f>
        <v>75600000</v>
      </c>
      <c r="K3" s="25">
        <f>G3*I3</f>
        <v>8800</v>
      </c>
      <c r="L3" s="25">
        <f>(J3+K3)/(H3+I3)</f>
        <v>84.001564291491505</v>
      </c>
      <c r="M3" s="25">
        <f>$M$1/L3</f>
        <v>59.522701061252128</v>
      </c>
      <c r="N3" s="27">
        <f>M3/24</f>
        <v>2.4801125442188385</v>
      </c>
      <c r="O3" s="28"/>
    </row>
    <row r="4" spans="1:15" x14ac:dyDescent="0.3">
      <c r="A4" s="4" t="str">
        <f t="shared" ref="A4:A38" si="0">C4 &amp;" "&amp;E4</f>
        <v>BASICO LoRa</v>
      </c>
      <c r="B4" s="6">
        <v>2</v>
      </c>
      <c r="C4" s="6" t="s">
        <v>5</v>
      </c>
      <c r="D4" s="6" t="s">
        <v>9</v>
      </c>
      <c r="E4" s="6" t="s">
        <v>10</v>
      </c>
      <c r="F4" s="11">
        <v>38.799999999999997</v>
      </c>
      <c r="G4" s="15">
        <v>55.6</v>
      </c>
      <c r="H4" s="3">
        <v>900000</v>
      </c>
      <c r="I4" s="15">
        <v>88</v>
      </c>
      <c r="J4" s="6">
        <f t="shared" ref="J4:J38" si="1">F4*H4</f>
        <v>34920000</v>
      </c>
      <c r="K4" s="25">
        <f t="shared" ref="K4:K38" si="2">G4*I4</f>
        <v>4892.8</v>
      </c>
      <c r="L4" s="25">
        <f t="shared" ref="L4:L38" si="3">(J4+K4)/(H4+I4)</f>
        <v>38.801642506066074</v>
      </c>
      <c r="M4" s="25">
        <f t="shared" ref="M4:M38" si="4">$M$1/L4</f>
        <v>128.86052437646995</v>
      </c>
      <c r="N4" s="27">
        <f t="shared" ref="N4:N38" si="5">M4/24</f>
        <v>5.3691885156862478</v>
      </c>
      <c r="O4" s="28"/>
    </row>
    <row r="5" spans="1:15" x14ac:dyDescent="0.3">
      <c r="A5" s="4" t="str">
        <f t="shared" si="0"/>
        <v>ADAPTIVE LoRa</v>
      </c>
      <c r="B5" s="6">
        <v>3</v>
      </c>
      <c r="C5" s="6" t="s">
        <v>13</v>
      </c>
      <c r="D5" s="6" t="s">
        <v>9</v>
      </c>
      <c r="E5" s="6" t="s">
        <v>10</v>
      </c>
      <c r="F5" s="11">
        <v>22.3</v>
      </c>
      <c r="G5" s="15">
        <v>59.5</v>
      </c>
      <c r="H5" s="3">
        <v>900000</v>
      </c>
      <c r="I5" s="15">
        <v>68.7</v>
      </c>
      <c r="J5" s="6">
        <f t="shared" si="1"/>
        <v>20070000</v>
      </c>
      <c r="K5" s="25">
        <f t="shared" si="2"/>
        <v>4087.65</v>
      </c>
      <c r="L5" s="25">
        <f t="shared" si="3"/>
        <v>22.302839383260412</v>
      </c>
      <c r="M5" s="25">
        <f t="shared" si="4"/>
        <v>224.18670170546952</v>
      </c>
      <c r="N5" s="27">
        <f t="shared" si="5"/>
        <v>9.3411125710612293</v>
      </c>
      <c r="O5" s="28"/>
    </row>
    <row r="6" spans="1:15" x14ac:dyDescent="0.3">
      <c r="A6" s="4" t="str">
        <f t="shared" si="0"/>
        <v>ADAPTIVE LoRa</v>
      </c>
      <c r="B6" s="6">
        <v>4</v>
      </c>
      <c r="C6" s="6" t="s">
        <v>13</v>
      </c>
      <c r="D6" s="6" t="s">
        <v>6</v>
      </c>
      <c r="E6" s="6" t="s">
        <v>10</v>
      </c>
      <c r="F6" s="11">
        <v>75.7</v>
      </c>
      <c r="G6" s="15">
        <v>89.8</v>
      </c>
      <c r="H6" s="3">
        <v>900000</v>
      </c>
      <c r="I6" s="15">
        <v>68.7</v>
      </c>
      <c r="J6" s="6">
        <f t="shared" si="1"/>
        <v>68130000</v>
      </c>
      <c r="K6" s="25">
        <f t="shared" si="2"/>
        <v>6169.26</v>
      </c>
      <c r="L6" s="25">
        <f t="shared" si="3"/>
        <v>75.701076217848708</v>
      </c>
      <c r="M6" s="25">
        <f t="shared" si="4"/>
        <v>66.049259136174683</v>
      </c>
      <c r="N6" s="27">
        <f t="shared" si="5"/>
        <v>2.7520524640072783</v>
      </c>
      <c r="O6" s="28"/>
    </row>
    <row r="7" spans="1:15" x14ac:dyDescent="0.3">
      <c r="A7" s="4" t="str">
        <f t="shared" si="0"/>
        <v>ENERGY LoRa</v>
      </c>
      <c r="B7" s="6">
        <v>5</v>
      </c>
      <c r="C7" s="6" t="s">
        <v>18</v>
      </c>
      <c r="D7" s="6" t="s">
        <v>9</v>
      </c>
      <c r="E7" s="6" t="s">
        <v>10</v>
      </c>
      <c r="F7" s="11">
        <v>5.4</v>
      </c>
      <c r="G7" s="15">
        <v>61.1</v>
      </c>
      <c r="H7" s="3">
        <v>900000</v>
      </c>
      <c r="I7" s="15">
        <v>68.900000000000006</v>
      </c>
      <c r="J7" s="6">
        <f t="shared" si="1"/>
        <v>4860000</v>
      </c>
      <c r="K7" s="25">
        <f t="shared" si="2"/>
        <v>4209.7900000000009</v>
      </c>
      <c r="L7" s="25">
        <f t="shared" si="3"/>
        <v>5.4042638180254867</v>
      </c>
      <c r="M7" s="25">
        <f t="shared" si="4"/>
        <v>925.19539540666074</v>
      </c>
      <c r="N7" s="27">
        <f t="shared" si="5"/>
        <v>38.549808141944197</v>
      </c>
      <c r="O7" s="28"/>
    </row>
    <row r="8" spans="1:15" x14ac:dyDescent="0.3">
      <c r="A8" s="4" t="str">
        <f t="shared" si="0"/>
        <v>ENERGY + ADAPTIVE LoRa</v>
      </c>
      <c r="B8" s="6">
        <v>6</v>
      </c>
      <c r="C8" s="6" t="s">
        <v>19</v>
      </c>
      <c r="D8" s="6" t="s">
        <v>9</v>
      </c>
      <c r="E8" s="6" t="s">
        <v>10</v>
      </c>
      <c r="F8" s="11">
        <v>5.4</v>
      </c>
      <c r="G8" s="15">
        <v>61.9</v>
      </c>
      <c r="H8" s="3">
        <v>900000</v>
      </c>
      <c r="I8" s="15">
        <v>71.7</v>
      </c>
      <c r="J8" s="6">
        <f t="shared" si="1"/>
        <v>4860000</v>
      </c>
      <c r="K8" s="25">
        <f t="shared" si="2"/>
        <v>4438.2300000000005</v>
      </c>
      <c r="L8" s="25">
        <f t="shared" si="3"/>
        <v>5.4045008081022887</v>
      </c>
      <c r="M8" s="25">
        <f t="shared" si="4"/>
        <v>925.15482512355788</v>
      </c>
      <c r="N8" s="27">
        <f t="shared" si="5"/>
        <v>38.548117713481581</v>
      </c>
      <c r="O8" s="28"/>
    </row>
    <row r="9" spans="1:15" x14ac:dyDescent="0.3">
      <c r="A9" s="4" t="str">
        <f t="shared" si="0"/>
        <v>ADAPTIVE + CODEC LoRa</v>
      </c>
      <c r="B9" s="6">
        <v>7</v>
      </c>
      <c r="C9" s="6" t="s">
        <v>15</v>
      </c>
      <c r="D9" s="6" t="s">
        <v>6</v>
      </c>
      <c r="E9" s="6" t="s">
        <v>10</v>
      </c>
      <c r="F9" s="11">
        <v>84.1</v>
      </c>
      <c r="G9" s="15">
        <v>88</v>
      </c>
      <c r="H9" s="3">
        <v>900000</v>
      </c>
      <c r="I9" s="15">
        <v>48.7</v>
      </c>
      <c r="J9" s="6">
        <f t="shared" si="1"/>
        <v>75690000</v>
      </c>
      <c r="K9" s="25">
        <f t="shared" si="2"/>
        <v>4285.6000000000004</v>
      </c>
      <c r="L9" s="25">
        <f t="shared" si="3"/>
        <v>84.100211021914703</v>
      </c>
      <c r="M9" s="25">
        <f t="shared" si="4"/>
        <v>59.452882926739719</v>
      </c>
      <c r="N9" s="27">
        <f t="shared" si="5"/>
        <v>2.4772034552808218</v>
      </c>
      <c r="O9" s="28"/>
    </row>
    <row r="10" spans="1:15" x14ac:dyDescent="0.3">
      <c r="A10" s="4" t="str">
        <f t="shared" si="0"/>
        <v>ADAPTIVE + CODEC LoRa</v>
      </c>
      <c r="B10" s="6">
        <v>8</v>
      </c>
      <c r="C10" s="6" t="s">
        <v>15</v>
      </c>
      <c r="D10" s="6" t="s">
        <v>9</v>
      </c>
      <c r="E10" s="6" t="s">
        <v>10</v>
      </c>
      <c r="F10" s="11">
        <v>35.1</v>
      </c>
      <c r="G10" s="15">
        <v>56.5</v>
      </c>
      <c r="H10" s="3">
        <v>900000</v>
      </c>
      <c r="I10" s="15">
        <v>48.7</v>
      </c>
      <c r="J10" s="6">
        <f t="shared" si="1"/>
        <v>31590000</v>
      </c>
      <c r="K10" s="25">
        <f t="shared" si="2"/>
        <v>2751.55</v>
      </c>
      <c r="L10" s="25">
        <f t="shared" si="3"/>
        <v>35.101157915121703</v>
      </c>
      <c r="M10" s="25">
        <f t="shared" si="4"/>
        <v>142.44544331245501</v>
      </c>
      <c r="N10" s="27">
        <f t="shared" si="5"/>
        <v>5.9352268046856258</v>
      </c>
      <c r="O10" s="28"/>
    </row>
    <row r="11" spans="1:15" x14ac:dyDescent="0.3">
      <c r="A11" s="4" t="str">
        <f t="shared" si="0"/>
        <v>CODEC LoRa</v>
      </c>
      <c r="B11" s="6">
        <v>9</v>
      </c>
      <c r="C11" s="6" t="s">
        <v>14</v>
      </c>
      <c r="D11" s="6" t="s">
        <v>9</v>
      </c>
      <c r="E11" s="6" t="s">
        <v>10</v>
      </c>
      <c r="F11" s="11">
        <v>39</v>
      </c>
      <c r="G11" s="15">
        <v>40</v>
      </c>
      <c r="H11" s="3">
        <v>900000</v>
      </c>
      <c r="I11" s="15">
        <v>45.8</v>
      </c>
      <c r="J11" s="6">
        <f t="shared" si="1"/>
        <v>35100000</v>
      </c>
      <c r="K11" s="25">
        <f t="shared" si="2"/>
        <v>1832</v>
      </c>
      <c r="L11" s="25">
        <f t="shared" si="3"/>
        <v>39.000050886299341</v>
      </c>
      <c r="M11" s="25">
        <f t="shared" si="4"/>
        <v>128.20496092625592</v>
      </c>
      <c r="N11" s="27">
        <f t="shared" si="5"/>
        <v>5.3418733719273304</v>
      </c>
      <c r="O11" s="28"/>
    </row>
    <row r="12" spans="1:15" x14ac:dyDescent="0.3">
      <c r="A12" s="4" t="str">
        <f t="shared" si="0"/>
        <v>CODEC LoRa</v>
      </c>
      <c r="B12" s="6">
        <v>10</v>
      </c>
      <c r="C12" s="6" t="s">
        <v>14</v>
      </c>
      <c r="D12" s="6" t="s">
        <v>6</v>
      </c>
      <c r="E12" s="6" t="s">
        <v>10</v>
      </c>
      <c r="F12" s="11">
        <v>89.5</v>
      </c>
      <c r="G12" s="15">
        <v>81.5</v>
      </c>
      <c r="H12" s="3">
        <v>900000</v>
      </c>
      <c r="I12" s="15">
        <v>45.8</v>
      </c>
      <c r="J12" s="6">
        <f t="shared" si="1"/>
        <v>80550000</v>
      </c>
      <c r="K12" s="25">
        <f t="shared" si="2"/>
        <v>3732.7</v>
      </c>
      <c r="L12" s="25">
        <f t="shared" si="3"/>
        <v>89.499592909605269</v>
      </c>
      <c r="M12" s="25">
        <f t="shared" si="4"/>
        <v>55.866175894788796</v>
      </c>
      <c r="N12" s="27">
        <f t="shared" si="5"/>
        <v>2.327757328949533</v>
      </c>
      <c r="O12" s="28"/>
    </row>
    <row r="13" spans="1:15" x14ac:dyDescent="0.3">
      <c r="A13" s="4" t="str">
        <f t="shared" si="0"/>
        <v>CODEC + ENERGY LoRa</v>
      </c>
      <c r="B13" s="6">
        <v>11</v>
      </c>
      <c r="C13" s="6" t="s">
        <v>16</v>
      </c>
      <c r="D13" s="6" t="s">
        <v>9</v>
      </c>
      <c r="E13" s="6" t="s">
        <v>10</v>
      </c>
      <c r="F13" s="11">
        <v>6.2</v>
      </c>
      <c r="G13" s="15">
        <v>51.6</v>
      </c>
      <c r="H13" s="3">
        <v>900000</v>
      </c>
      <c r="I13" s="15">
        <v>42.3</v>
      </c>
      <c r="J13" s="6">
        <f t="shared" si="1"/>
        <v>5580000</v>
      </c>
      <c r="K13" s="25">
        <f t="shared" si="2"/>
        <v>2182.6799999999998</v>
      </c>
      <c r="L13" s="25">
        <f t="shared" si="3"/>
        <v>6.2021336997161125</v>
      </c>
      <c r="M13" s="25">
        <f t="shared" si="4"/>
        <v>806.17417199968827</v>
      </c>
      <c r="N13" s="27">
        <f t="shared" si="5"/>
        <v>33.590590499987009</v>
      </c>
      <c r="O13" s="28"/>
    </row>
    <row r="14" spans="1:15" x14ac:dyDescent="0.3">
      <c r="A14" s="4" t="str">
        <f t="shared" si="0"/>
        <v>CODEC + ENERGY + ADAPTIVE LoRa</v>
      </c>
      <c r="B14" s="6">
        <v>12</v>
      </c>
      <c r="C14" s="6" t="s">
        <v>20</v>
      </c>
      <c r="D14" s="6" t="s">
        <v>9</v>
      </c>
      <c r="E14" s="6" t="s">
        <v>10</v>
      </c>
      <c r="F14" s="11">
        <v>5.5</v>
      </c>
      <c r="G14" s="15">
        <v>54.4</v>
      </c>
      <c r="H14" s="3">
        <v>900000</v>
      </c>
      <c r="I14" s="15">
        <v>45.5</v>
      </c>
      <c r="J14" s="6">
        <f t="shared" si="1"/>
        <v>4950000</v>
      </c>
      <c r="K14" s="25">
        <f t="shared" si="2"/>
        <v>2475.1999999999998</v>
      </c>
      <c r="L14" s="25">
        <f t="shared" si="3"/>
        <v>5.5024720416912256</v>
      </c>
      <c r="M14" s="25">
        <f t="shared" si="4"/>
        <v>908.68249072706112</v>
      </c>
      <c r="N14" s="27">
        <f t="shared" si="5"/>
        <v>37.861770446960882</v>
      </c>
      <c r="O14" s="28"/>
    </row>
    <row r="15" spans="1:15" x14ac:dyDescent="0.3">
      <c r="A15" s="4" t="str">
        <f t="shared" si="0"/>
        <v>BASICO NRF24L01</v>
      </c>
      <c r="B15" s="7">
        <v>13</v>
      </c>
      <c r="C15" s="8" t="s">
        <v>5</v>
      </c>
      <c r="D15" s="9" t="s">
        <v>6</v>
      </c>
      <c r="E15" s="9" t="s">
        <v>11</v>
      </c>
      <c r="F15" s="13">
        <v>118.6</v>
      </c>
      <c r="G15" s="16">
        <v>131.4</v>
      </c>
      <c r="H15" s="9">
        <v>900000</v>
      </c>
      <c r="I15" s="20">
        <v>78</v>
      </c>
      <c r="J15" s="8">
        <f t="shared" si="1"/>
        <v>106740000</v>
      </c>
      <c r="K15" s="23">
        <f t="shared" si="2"/>
        <v>10249.200000000001</v>
      </c>
      <c r="L15" s="23">
        <f t="shared" si="3"/>
        <v>118.60110923719945</v>
      </c>
      <c r="M15" s="23">
        <f t="shared" si="4"/>
        <v>42.158121725490076</v>
      </c>
      <c r="N15" s="29">
        <f t="shared" si="5"/>
        <v>1.7565884052287533</v>
      </c>
      <c r="O15" s="28"/>
    </row>
    <row r="16" spans="1:15" x14ac:dyDescent="0.3">
      <c r="A16" s="4" t="str">
        <f t="shared" si="0"/>
        <v>BASICO NRF24L01</v>
      </c>
      <c r="B16" s="7">
        <v>14</v>
      </c>
      <c r="C16" s="8" t="s">
        <v>5</v>
      </c>
      <c r="D16" s="9" t="s">
        <v>9</v>
      </c>
      <c r="E16" s="9" t="s">
        <v>11</v>
      </c>
      <c r="F16" s="13">
        <v>90</v>
      </c>
      <c r="G16" s="16">
        <v>92.4</v>
      </c>
      <c r="H16" s="9">
        <v>900000</v>
      </c>
      <c r="I16" s="20">
        <v>78</v>
      </c>
      <c r="J16" s="8">
        <f t="shared" si="1"/>
        <v>81000000</v>
      </c>
      <c r="K16" s="23">
        <f t="shared" si="2"/>
        <v>7207.2000000000007</v>
      </c>
      <c r="L16" s="23">
        <f t="shared" si="3"/>
        <v>90.000207981974896</v>
      </c>
      <c r="M16" s="23">
        <f t="shared" si="4"/>
        <v>55.555427171917117</v>
      </c>
      <c r="N16" s="29">
        <f t="shared" si="5"/>
        <v>2.3148094654965465</v>
      </c>
      <c r="O16" s="28"/>
    </row>
    <row r="17" spans="1:15" x14ac:dyDescent="0.3">
      <c r="A17" s="4" t="str">
        <f t="shared" si="0"/>
        <v>ADAPTIVE NRF24L01</v>
      </c>
      <c r="B17" s="7">
        <v>15</v>
      </c>
      <c r="C17" s="8" t="s">
        <v>13</v>
      </c>
      <c r="D17" s="9" t="s">
        <v>6</v>
      </c>
      <c r="E17" s="9" t="s">
        <v>11</v>
      </c>
      <c r="F17" s="13">
        <v>86.7</v>
      </c>
      <c r="G17" s="16">
        <v>88.5</v>
      </c>
      <c r="H17" s="9">
        <v>900000</v>
      </c>
      <c r="I17" s="20">
        <v>23.15</v>
      </c>
      <c r="J17" s="8">
        <f t="shared" si="1"/>
        <v>78030000</v>
      </c>
      <c r="K17" s="23">
        <f t="shared" si="2"/>
        <v>2048.7750000000001</v>
      </c>
      <c r="L17" s="23">
        <f t="shared" si="3"/>
        <v>86.700046298809099</v>
      </c>
      <c r="M17" s="23">
        <f t="shared" si="4"/>
        <v>57.670096077776599</v>
      </c>
      <c r="N17" s="29">
        <f t="shared" si="5"/>
        <v>2.4029206699073584</v>
      </c>
      <c r="O17" s="28"/>
    </row>
    <row r="18" spans="1:15" x14ac:dyDescent="0.3">
      <c r="A18" s="4" t="str">
        <f t="shared" si="0"/>
        <v>ADAPTIVE NRF24L01</v>
      </c>
      <c r="B18" s="7">
        <v>16</v>
      </c>
      <c r="C18" s="8" t="s">
        <v>13</v>
      </c>
      <c r="D18" s="9" t="s">
        <v>9</v>
      </c>
      <c r="E18" s="9" t="s">
        <v>11</v>
      </c>
      <c r="F18" s="13">
        <v>38.200000000000003</v>
      </c>
      <c r="G18" s="16">
        <v>41.6</v>
      </c>
      <c r="H18" s="9">
        <v>900000</v>
      </c>
      <c r="I18" s="20">
        <v>22.7</v>
      </c>
      <c r="J18" s="8">
        <f t="shared" si="1"/>
        <v>34380000</v>
      </c>
      <c r="K18" s="23">
        <f t="shared" si="2"/>
        <v>944.32</v>
      </c>
      <c r="L18" s="23">
        <f t="shared" si="3"/>
        <v>38.200085753392663</v>
      </c>
      <c r="M18" s="23">
        <f t="shared" si="4"/>
        <v>130.8897585277262</v>
      </c>
      <c r="N18" s="29">
        <f t="shared" si="5"/>
        <v>5.4537399386552581</v>
      </c>
      <c r="O18" s="28"/>
    </row>
    <row r="19" spans="1:15" x14ac:dyDescent="0.3">
      <c r="A19" s="4" t="str">
        <f t="shared" si="0"/>
        <v>ENERGY NRF24L01</v>
      </c>
      <c r="B19" s="7">
        <v>17</v>
      </c>
      <c r="C19" s="8" t="s">
        <v>18</v>
      </c>
      <c r="D19" s="9" t="s">
        <v>9</v>
      </c>
      <c r="E19" s="8" t="s">
        <v>11</v>
      </c>
      <c r="F19" s="12">
        <v>10.4</v>
      </c>
      <c r="G19" s="17">
        <v>15</v>
      </c>
      <c r="H19" s="9">
        <v>900000</v>
      </c>
      <c r="I19" s="19">
        <v>51.5</v>
      </c>
      <c r="J19" s="8">
        <f t="shared" si="1"/>
        <v>9360000</v>
      </c>
      <c r="K19" s="23">
        <f t="shared" si="2"/>
        <v>772.5</v>
      </c>
      <c r="L19" s="23">
        <f t="shared" si="3"/>
        <v>10.400263207160924</v>
      </c>
      <c r="M19" s="23">
        <f t="shared" si="4"/>
        <v>480.75706358636535</v>
      </c>
      <c r="N19" s="29">
        <f t="shared" si="5"/>
        <v>20.031544316098557</v>
      </c>
      <c r="O19" s="28"/>
    </row>
    <row r="20" spans="1:15" x14ac:dyDescent="0.3">
      <c r="A20" s="4" t="str">
        <f t="shared" si="0"/>
        <v>ENERGY + ADAPTIVE NRF24L01</v>
      </c>
      <c r="B20" s="7">
        <v>18</v>
      </c>
      <c r="C20" s="8" t="s">
        <v>19</v>
      </c>
      <c r="D20" s="9" t="s">
        <v>9</v>
      </c>
      <c r="E20" s="9" t="s">
        <v>11</v>
      </c>
      <c r="F20" s="13">
        <v>10.5</v>
      </c>
      <c r="G20" s="16">
        <v>43.1</v>
      </c>
      <c r="H20" s="9">
        <v>900000</v>
      </c>
      <c r="I20" s="20">
        <v>54.6</v>
      </c>
      <c r="J20" s="8">
        <f t="shared" si="1"/>
        <v>9450000</v>
      </c>
      <c r="K20" s="23">
        <f t="shared" si="2"/>
        <v>2353.2600000000002</v>
      </c>
      <c r="L20" s="23">
        <f t="shared" si="3"/>
        <v>10.501977613358124</v>
      </c>
      <c r="M20" s="23">
        <f t="shared" si="4"/>
        <v>476.10080539880283</v>
      </c>
      <c r="N20" s="29">
        <f t="shared" si="5"/>
        <v>19.83753355828345</v>
      </c>
      <c r="O20" s="28"/>
    </row>
    <row r="21" spans="1:15" x14ac:dyDescent="0.3">
      <c r="A21" s="4" t="str">
        <f t="shared" si="0"/>
        <v>ADAPTIVE + CODEC NRF24L01</v>
      </c>
      <c r="B21" s="7">
        <v>19</v>
      </c>
      <c r="C21" s="8" t="s">
        <v>15</v>
      </c>
      <c r="D21" s="9" t="s">
        <v>6</v>
      </c>
      <c r="E21" s="9" t="s">
        <v>11</v>
      </c>
      <c r="F21" s="13">
        <v>87.3</v>
      </c>
      <c r="G21" s="16">
        <v>88.8</v>
      </c>
      <c r="H21" s="9">
        <v>900000</v>
      </c>
      <c r="I21" s="20">
        <v>22.87</v>
      </c>
      <c r="J21" s="8">
        <f t="shared" si="1"/>
        <v>78570000</v>
      </c>
      <c r="K21" s="23">
        <f t="shared" si="2"/>
        <v>2030.856</v>
      </c>
      <c r="L21" s="23">
        <f t="shared" si="3"/>
        <v>87.300038115698115</v>
      </c>
      <c r="M21" s="23">
        <f t="shared" si="4"/>
        <v>57.273743607918426</v>
      </c>
      <c r="N21" s="29">
        <f t="shared" si="5"/>
        <v>2.3864059836632676</v>
      </c>
      <c r="O21" s="28"/>
    </row>
    <row r="22" spans="1:15" x14ac:dyDescent="0.3">
      <c r="A22" s="4" t="str">
        <f t="shared" si="0"/>
        <v>ADAPTIVE + CODEC NRF24L01</v>
      </c>
      <c r="B22" s="7">
        <v>20</v>
      </c>
      <c r="C22" s="8" t="s">
        <v>15</v>
      </c>
      <c r="D22" s="9" t="s">
        <v>9</v>
      </c>
      <c r="E22" s="9" t="s">
        <v>11</v>
      </c>
      <c r="F22" s="13">
        <v>40.799999999999997</v>
      </c>
      <c r="G22" s="16">
        <v>41.3</v>
      </c>
      <c r="H22" s="9">
        <v>900000</v>
      </c>
      <c r="I22" s="20">
        <v>22.61</v>
      </c>
      <c r="J22" s="8">
        <f t="shared" si="1"/>
        <v>36720000</v>
      </c>
      <c r="K22" s="23">
        <f t="shared" si="2"/>
        <v>933.79299999999989</v>
      </c>
      <c r="L22" s="23">
        <f t="shared" si="3"/>
        <v>40.800012560795551</v>
      </c>
      <c r="M22" s="23">
        <f t="shared" si="4"/>
        <v>122.54898187959053</v>
      </c>
      <c r="N22" s="29">
        <f t="shared" si="5"/>
        <v>5.1062075783162717</v>
      </c>
      <c r="O22" s="28"/>
    </row>
    <row r="23" spans="1:15" x14ac:dyDescent="0.3">
      <c r="A23" s="4" t="str">
        <f t="shared" si="0"/>
        <v>CODEC NRF24L01</v>
      </c>
      <c r="B23" s="7">
        <v>21</v>
      </c>
      <c r="C23" s="8" t="s">
        <v>14</v>
      </c>
      <c r="D23" s="9" t="s">
        <v>6</v>
      </c>
      <c r="E23" s="9" t="s">
        <v>11</v>
      </c>
      <c r="F23" s="13">
        <v>87.3</v>
      </c>
      <c r="G23" s="16">
        <v>87.5</v>
      </c>
      <c r="H23" s="9">
        <v>900000</v>
      </c>
      <c r="I23" s="20">
        <v>22.6</v>
      </c>
      <c r="J23" s="8">
        <f t="shared" si="1"/>
        <v>78570000</v>
      </c>
      <c r="K23" s="23">
        <f t="shared" si="2"/>
        <v>1977.5000000000002</v>
      </c>
      <c r="L23" s="23">
        <f t="shared" si="3"/>
        <v>87.300005022096116</v>
      </c>
      <c r="M23" s="23">
        <f t="shared" si="4"/>
        <v>57.273765319194105</v>
      </c>
      <c r="N23" s="29">
        <f t="shared" si="5"/>
        <v>2.3864068882997542</v>
      </c>
      <c r="O23" s="28"/>
    </row>
    <row r="24" spans="1:15" x14ac:dyDescent="0.3">
      <c r="A24" s="4" t="str">
        <f t="shared" si="0"/>
        <v>CODEC NRF24L01</v>
      </c>
      <c r="B24" s="7">
        <v>22</v>
      </c>
      <c r="C24" s="8" t="s">
        <v>14</v>
      </c>
      <c r="D24" s="9" t="s">
        <v>9</v>
      </c>
      <c r="E24" s="9" t="s">
        <v>11</v>
      </c>
      <c r="F24" s="13">
        <v>83.1</v>
      </c>
      <c r="G24" s="16">
        <v>83.2</v>
      </c>
      <c r="H24" s="9">
        <v>900000</v>
      </c>
      <c r="I24" s="20">
        <v>22.6</v>
      </c>
      <c r="J24" s="8">
        <f t="shared" si="1"/>
        <v>74790000</v>
      </c>
      <c r="K24" s="23">
        <f t="shared" si="2"/>
        <v>1880.3200000000002</v>
      </c>
      <c r="L24" s="23">
        <f t="shared" si="3"/>
        <v>83.100002511048046</v>
      </c>
      <c r="M24" s="23">
        <f t="shared" si="4"/>
        <v>60.168469902696522</v>
      </c>
      <c r="N24" s="29">
        <f t="shared" si="5"/>
        <v>2.5070195792790217</v>
      </c>
      <c r="O24" s="28"/>
    </row>
    <row r="25" spans="1:15" x14ac:dyDescent="0.3">
      <c r="A25" s="4" t="str">
        <f t="shared" si="0"/>
        <v>CODEC + ENERGY NRF24L01</v>
      </c>
      <c r="B25" s="7">
        <v>23</v>
      </c>
      <c r="C25" s="8" t="s">
        <v>16</v>
      </c>
      <c r="D25" s="9" t="s">
        <v>9</v>
      </c>
      <c r="E25" s="8" t="s">
        <v>11</v>
      </c>
      <c r="F25" s="12">
        <v>14.7</v>
      </c>
      <c r="G25" s="17">
        <v>38.6</v>
      </c>
      <c r="H25" s="9">
        <v>900000</v>
      </c>
      <c r="I25" s="19">
        <v>44.3</v>
      </c>
      <c r="J25" s="8">
        <f t="shared" si="1"/>
        <v>13230000</v>
      </c>
      <c r="K25" s="23">
        <f t="shared" si="2"/>
        <v>1709.98</v>
      </c>
      <c r="L25" s="23">
        <f t="shared" si="3"/>
        <v>14.701176353208393</v>
      </c>
      <c r="M25" s="23">
        <f t="shared" si="4"/>
        <v>340.10883754270435</v>
      </c>
      <c r="N25" s="29">
        <f t="shared" si="5"/>
        <v>14.171201564279349</v>
      </c>
      <c r="O25" s="28"/>
    </row>
    <row r="26" spans="1:15" x14ac:dyDescent="0.3">
      <c r="A26" s="4" t="str">
        <f t="shared" si="0"/>
        <v>CODEC + ENERGY + ADAPTATIVE NRF24L01</v>
      </c>
      <c r="B26" s="7">
        <v>24</v>
      </c>
      <c r="C26" s="8" t="s">
        <v>17</v>
      </c>
      <c r="D26" s="9" t="s">
        <v>9</v>
      </c>
      <c r="E26" s="9" t="s">
        <v>11</v>
      </c>
      <c r="F26" s="13">
        <v>10.5</v>
      </c>
      <c r="G26" s="16">
        <v>42.8</v>
      </c>
      <c r="H26" s="9">
        <v>900000</v>
      </c>
      <c r="I26" s="20">
        <v>44.2</v>
      </c>
      <c r="J26" s="8">
        <f t="shared" si="1"/>
        <v>9450000</v>
      </c>
      <c r="K26" s="23">
        <f t="shared" si="2"/>
        <v>1891.76</v>
      </c>
      <c r="L26" s="23">
        <f t="shared" si="3"/>
        <v>10.501586210988306</v>
      </c>
      <c r="M26" s="23">
        <f t="shared" si="4"/>
        <v>476.1185500499214</v>
      </c>
      <c r="N26" s="29">
        <f t="shared" si="5"/>
        <v>19.838272918746725</v>
      </c>
      <c r="O26" s="28"/>
    </row>
    <row r="27" spans="1:15" x14ac:dyDescent="0.3">
      <c r="A27" s="4" t="str">
        <f t="shared" si="0"/>
        <v>BASICO XBEE</v>
      </c>
      <c r="B27" s="10">
        <v>25</v>
      </c>
      <c r="C27" s="10" t="s">
        <v>5</v>
      </c>
      <c r="D27" s="10" t="s">
        <v>6</v>
      </c>
      <c r="E27" s="10" t="s">
        <v>0</v>
      </c>
      <c r="F27" s="14">
        <v>67.400000000000006</v>
      </c>
      <c r="G27" s="18">
        <v>74.5</v>
      </c>
      <c r="H27" s="10">
        <v>900000</v>
      </c>
      <c r="I27" s="21">
        <v>90</v>
      </c>
      <c r="J27" s="10">
        <f t="shared" si="1"/>
        <v>60660000.000000007</v>
      </c>
      <c r="K27" s="24">
        <f t="shared" si="2"/>
        <v>6705</v>
      </c>
      <c r="L27" s="24">
        <f t="shared" si="3"/>
        <v>67.400709929007107</v>
      </c>
      <c r="M27" s="24">
        <f t="shared" si="4"/>
        <v>74.183194884244983</v>
      </c>
      <c r="N27" s="30">
        <f t="shared" si="5"/>
        <v>3.0909664535102075</v>
      </c>
      <c r="O27" s="28"/>
    </row>
    <row r="28" spans="1:15" x14ac:dyDescent="0.3">
      <c r="A28" s="4" t="str">
        <f t="shared" si="0"/>
        <v>BASICO XBEE</v>
      </c>
      <c r="B28" s="10">
        <v>26</v>
      </c>
      <c r="C28" s="10" t="s">
        <v>5</v>
      </c>
      <c r="D28" s="10" t="s">
        <v>9</v>
      </c>
      <c r="E28" s="10" t="s">
        <v>0</v>
      </c>
      <c r="F28" s="14">
        <v>20.3</v>
      </c>
      <c r="G28" s="18">
        <v>34.6</v>
      </c>
      <c r="H28" s="10">
        <v>900000</v>
      </c>
      <c r="I28" s="21">
        <v>89</v>
      </c>
      <c r="J28" s="10">
        <f t="shared" si="1"/>
        <v>18270000</v>
      </c>
      <c r="K28" s="24">
        <f t="shared" si="2"/>
        <v>3079.4</v>
      </c>
      <c r="L28" s="24">
        <f t="shared" si="3"/>
        <v>20.301413971285061</v>
      </c>
      <c r="M28" s="24">
        <f t="shared" si="4"/>
        <v>246.2882638161141</v>
      </c>
      <c r="N28" s="30">
        <f t="shared" si="5"/>
        <v>10.262010992338087</v>
      </c>
      <c r="O28" s="28"/>
    </row>
    <row r="29" spans="1:15" x14ac:dyDescent="0.3">
      <c r="A29" s="4" t="str">
        <f t="shared" si="0"/>
        <v>ADAPTIVE XBEE</v>
      </c>
      <c r="B29" s="10">
        <v>27</v>
      </c>
      <c r="C29" s="10" t="s">
        <v>13</v>
      </c>
      <c r="D29" s="10" t="s">
        <v>6</v>
      </c>
      <c r="E29" s="10" t="s">
        <v>0</v>
      </c>
      <c r="F29" s="14">
        <v>74.7</v>
      </c>
      <c r="G29" s="18">
        <v>79.599999999999994</v>
      </c>
      <c r="H29" s="10">
        <v>900000</v>
      </c>
      <c r="I29" s="21">
        <v>31.7</v>
      </c>
      <c r="J29" s="10">
        <f t="shared" si="1"/>
        <v>67230000</v>
      </c>
      <c r="K29" s="24">
        <f t="shared" si="2"/>
        <v>2523.3199999999997</v>
      </c>
      <c r="L29" s="24">
        <f t="shared" si="3"/>
        <v>74.70017258281014</v>
      </c>
      <c r="M29" s="24">
        <f t="shared" si="4"/>
        <v>66.934249642558257</v>
      </c>
      <c r="N29" s="30">
        <f t="shared" si="5"/>
        <v>2.7889270684399272</v>
      </c>
      <c r="O29" s="28"/>
    </row>
    <row r="30" spans="1:15" x14ac:dyDescent="0.3">
      <c r="A30" s="4" t="str">
        <f t="shared" si="0"/>
        <v>ADAPTIVE XBEE</v>
      </c>
      <c r="B30" s="10">
        <v>28</v>
      </c>
      <c r="C30" s="10" t="s">
        <v>13</v>
      </c>
      <c r="D30" s="10" t="s">
        <v>9</v>
      </c>
      <c r="E30" s="10" t="s">
        <v>0</v>
      </c>
      <c r="F30" s="14">
        <v>34.299999999999997</v>
      </c>
      <c r="G30" s="18">
        <v>45.6</v>
      </c>
      <c r="H30" s="10">
        <v>900000</v>
      </c>
      <c r="I30" s="22">
        <v>33.200000000000003</v>
      </c>
      <c r="J30" s="10">
        <f t="shared" si="1"/>
        <v>30869999.999999996</v>
      </c>
      <c r="K30" s="24">
        <f t="shared" si="2"/>
        <v>1513.92</v>
      </c>
      <c r="L30" s="24">
        <f t="shared" si="3"/>
        <v>34.300416829068084</v>
      </c>
      <c r="M30" s="24">
        <f t="shared" si="4"/>
        <v>145.77082327940462</v>
      </c>
      <c r="N30" s="30">
        <f t="shared" si="5"/>
        <v>6.0737843033085257</v>
      </c>
      <c r="O30" s="28"/>
    </row>
    <row r="31" spans="1:15" x14ac:dyDescent="0.3">
      <c r="A31" s="4" t="str">
        <f t="shared" si="0"/>
        <v>ENERGY XBEE</v>
      </c>
      <c r="B31" s="10">
        <v>29</v>
      </c>
      <c r="C31" s="10" t="s">
        <v>18</v>
      </c>
      <c r="D31" s="10" t="s">
        <v>9</v>
      </c>
      <c r="E31" s="10" t="s">
        <v>0</v>
      </c>
      <c r="F31" s="14">
        <v>15.9</v>
      </c>
      <c r="G31" s="18">
        <v>25.9</v>
      </c>
      <c r="H31" s="10">
        <v>900000</v>
      </c>
      <c r="I31" s="21">
        <v>34.299999999999997</v>
      </c>
      <c r="J31" s="10">
        <f t="shared" si="1"/>
        <v>14310000</v>
      </c>
      <c r="K31" s="24">
        <f t="shared" si="2"/>
        <v>888.36999999999989</v>
      </c>
      <c r="L31" s="24">
        <f t="shared" si="3"/>
        <v>15.900381096587095</v>
      </c>
      <c r="M31" s="24">
        <f t="shared" si="4"/>
        <v>314.45787177221899</v>
      </c>
      <c r="N31" s="30">
        <f t="shared" si="5"/>
        <v>13.102411323842459</v>
      </c>
      <c r="O31" s="28"/>
    </row>
    <row r="32" spans="1:15" x14ac:dyDescent="0.3">
      <c r="A32" s="4" t="str">
        <f t="shared" si="0"/>
        <v>ENERGY + ADAPTIVE XBEE</v>
      </c>
      <c r="B32" s="10">
        <v>30</v>
      </c>
      <c r="C32" s="10" t="s">
        <v>19</v>
      </c>
      <c r="D32" s="10" t="s">
        <v>9</v>
      </c>
      <c r="E32" s="10" t="s">
        <v>0</v>
      </c>
      <c r="F32" s="14">
        <v>13.2</v>
      </c>
      <c r="G32" s="18">
        <v>24</v>
      </c>
      <c r="H32" s="10">
        <v>900000</v>
      </c>
      <c r="I32" s="21">
        <v>36</v>
      </c>
      <c r="J32" s="10">
        <f t="shared" si="1"/>
        <v>11880000</v>
      </c>
      <c r="K32" s="24">
        <f t="shared" si="2"/>
        <v>864</v>
      </c>
      <c r="L32" s="24">
        <f t="shared" si="3"/>
        <v>13.200431982720691</v>
      </c>
      <c r="M32" s="24">
        <f t="shared" si="4"/>
        <v>378.77548299517611</v>
      </c>
      <c r="N32" s="30">
        <f t="shared" si="5"/>
        <v>15.782311791465672</v>
      </c>
      <c r="O32" s="28"/>
    </row>
    <row r="33" spans="1:15" x14ac:dyDescent="0.3">
      <c r="A33" s="4" t="str">
        <f t="shared" si="0"/>
        <v>ADAPTIVE + CODEC XBEE</v>
      </c>
      <c r="B33" s="10">
        <v>31</v>
      </c>
      <c r="C33" s="10" t="s">
        <v>15</v>
      </c>
      <c r="D33" s="10" t="s">
        <v>6</v>
      </c>
      <c r="E33" s="10" t="s">
        <v>0</v>
      </c>
      <c r="F33" s="14">
        <v>68.2</v>
      </c>
      <c r="G33" s="18">
        <v>73.400000000000006</v>
      </c>
      <c r="H33" s="10">
        <v>900000</v>
      </c>
      <c r="I33" s="21">
        <v>21.6</v>
      </c>
      <c r="J33" s="10">
        <f t="shared" si="1"/>
        <v>61380000</v>
      </c>
      <c r="K33" s="24">
        <f t="shared" si="2"/>
        <v>1585.4400000000003</v>
      </c>
      <c r="L33" s="24">
        <f t="shared" si="3"/>
        <v>68.200124797004875</v>
      </c>
      <c r="M33" s="24">
        <f t="shared" si="4"/>
        <v>73.313648836894558</v>
      </c>
      <c r="N33" s="30">
        <f t="shared" si="5"/>
        <v>3.0547353682039398</v>
      </c>
      <c r="O33" s="28"/>
    </row>
    <row r="34" spans="1:15" x14ac:dyDescent="0.3">
      <c r="A34" s="4" t="str">
        <f t="shared" si="0"/>
        <v>ADAPTIVE + CODEC XBEE</v>
      </c>
      <c r="B34" s="10">
        <v>32</v>
      </c>
      <c r="C34" s="10" t="s">
        <v>15</v>
      </c>
      <c r="D34" s="10" t="s">
        <v>9</v>
      </c>
      <c r="E34" s="10" t="s">
        <v>0</v>
      </c>
      <c r="F34" s="14">
        <v>21</v>
      </c>
      <c r="G34" s="18">
        <v>31.1</v>
      </c>
      <c r="H34" s="10">
        <v>900000</v>
      </c>
      <c r="I34" s="21">
        <v>25.2</v>
      </c>
      <c r="J34" s="10">
        <f t="shared" si="1"/>
        <v>18900000</v>
      </c>
      <c r="K34" s="24">
        <f t="shared" si="2"/>
        <v>783.72</v>
      </c>
      <c r="L34" s="24">
        <f t="shared" si="3"/>
        <v>21.000282792081823</v>
      </c>
      <c r="M34" s="24">
        <f t="shared" si="4"/>
        <v>238.09203187898282</v>
      </c>
      <c r="N34" s="30">
        <f t="shared" si="5"/>
        <v>9.9205013282909515</v>
      </c>
      <c r="O34" s="28"/>
    </row>
    <row r="35" spans="1:15" x14ac:dyDescent="0.3">
      <c r="A35" s="4" t="str">
        <f t="shared" si="0"/>
        <v>CODEC XBEE</v>
      </c>
      <c r="B35" s="10">
        <v>33</v>
      </c>
      <c r="C35" s="10" t="s">
        <v>14</v>
      </c>
      <c r="D35" s="10" t="s">
        <v>6</v>
      </c>
      <c r="E35" s="10" t="s">
        <v>0</v>
      </c>
      <c r="F35" s="14">
        <v>66.3</v>
      </c>
      <c r="G35" s="18">
        <v>74.2</v>
      </c>
      <c r="H35" s="10">
        <v>900000</v>
      </c>
      <c r="I35" s="21">
        <v>18.7</v>
      </c>
      <c r="J35" s="10">
        <f t="shared" si="1"/>
        <v>59670000</v>
      </c>
      <c r="K35" s="24">
        <f t="shared" si="2"/>
        <v>1387.54</v>
      </c>
      <c r="L35" s="24">
        <f t="shared" si="3"/>
        <v>66.30016414103396</v>
      </c>
      <c r="M35" s="24">
        <f t="shared" si="4"/>
        <v>75.414594590806459</v>
      </c>
      <c r="N35" s="30">
        <f t="shared" si="5"/>
        <v>3.1422747746169359</v>
      </c>
      <c r="O35" s="28"/>
    </row>
    <row r="36" spans="1:15" x14ac:dyDescent="0.3">
      <c r="A36" s="4" t="str">
        <f t="shared" si="0"/>
        <v>CODEC XBEE</v>
      </c>
      <c r="B36" s="10">
        <v>34</v>
      </c>
      <c r="C36" s="10" t="s">
        <v>14</v>
      </c>
      <c r="D36" s="10" t="s">
        <v>9</v>
      </c>
      <c r="E36" s="10" t="s">
        <v>0</v>
      </c>
      <c r="F36" s="14">
        <v>20.399999999999999</v>
      </c>
      <c r="G36" s="18">
        <v>45.4</v>
      </c>
      <c r="H36" s="10">
        <v>900000</v>
      </c>
      <c r="I36" s="21">
        <v>20.3</v>
      </c>
      <c r="J36" s="10">
        <f t="shared" si="1"/>
        <v>18360000</v>
      </c>
      <c r="K36" s="24">
        <f t="shared" si="2"/>
        <v>921.62</v>
      </c>
      <c r="L36" s="24">
        <f t="shared" si="3"/>
        <v>20.400563876170349</v>
      </c>
      <c r="M36" s="24">
        <f t="shared" si="4"/>
        <v>245.09126465079916</v>
      </c>
      <c r="N36" s="30">
        <f t="shared" si="5"/>
        <v>10.212136027116632</v>
      </c>
      <c r="O36" s="28"/>
    </row>
    <row r="37" spans="1:15" x14ac:dyDescent="0.3">
      <c r="A37" s="4" t="str">
        <f t="shared" si="0"/>
        <v>CODEC + ENERGY XBEE</v>
      </c>
      <c r="B37" s="10">
        <v>35</v>
      </c>
      <c r="C37" s="10" t="s">
        <v>16</v>
      </c>
      <c r="D37" s="10" t="s">
        <v>9</v>
      </c>
      <c r="E37" s="10" t="s">
        <v>0</v>
      </c>
      <c r="F37" s="14">
        <v>19.8</v>
      </c>
      <c r="G37" s="18">
        <v>30.2</v>
      </c>
      <c r="H37" s="10">
        <v>900000</v>
      </c>
      <c r="I37" s="21">
        <v>15</v>
      </c>
      <c r="J37" s="10">
        <f t="shared" si="1"/>
        <v>17820000</v>
      </c>
      <c r="K37" s="24">
        <f t="shared" si="2"/>
        <v>453</v>
      </c>
      <c r="L37" s="24">
        <f t="shared" si="3"/>
        <v>19.800173330444494</v>
      </c>
      <c r="M37" s="24">
        <f t="shared" si="4"/>
        <v>252.52304192267164</v>
      </c>
      <c r="N37" s="30">
        <f t="shared" si="5"/>
        <v>10.521793413444652</v>
      </c>
      <c r="O37" s="28"/>
    </row>
    <row r="38" spans="1:15" x14ac:dyDescent="0.3">
      <c r="A38" s="4" t="str">
        <f t="shared" si="0"/>
        <v>CODEC + ENERGY + ADAPTATIVE XBEE</v>
      </c>
      <c r="B38" s="10">
        <v>36</v>
      </c>
      <c r="C38" s="10" t="s">
        <v>17</v>
      </c>
      <c r="D38" s="10" t="s">
        <v>9</v>
      </c>
      <c r="E38" s="10" t="s">
        <v>0</v>
      </c>
      <c r="F38" s="14">
        <v>19.27</v>
      </c>
      <c r="G38" s="18">
        <v>29.5</v>
      </c>
      <c r="H38" s="10">
        <v>900000</v>
      </c>
      <c r="I38" s="21">
        <v>18.399999999999999</v>
      </c>
      <c r="J38" s="10">
        <f t="shared" si="1"/>
        <v>17343000</v>
      </c>
      <c r="K38" s="24">
        <f t="shared" si="2"/>
        <v>542.79999999999995</v>
      </c>
      <c r="L38" s="24">
        <f t="shared" si="3"/>
        <v>19.270209142390868</v>
      </c>
      <c r="M38" s="24">
        <f t="shared" si="4"/>
        <v>259.46786374004273</v>
      </c>
      <c r="N38" s="30">
        <f t="shared" si="5"/>
        <v>10.811160989168448</v>
      </c>
      <c r="O38" s="28"/>
    </row>
  </sheetData>
  <mergeCells count="2">
    <mergeCell ref="F1:G1"/>
    <mergeCell ref="H1:I1"/>
  </mergeCells>
  <pageMargins left="0.7" right="0.7" top="1.3149999999999999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Hoja1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TOX DZUL OMAR</dc:creator>
  <cp:lastModifiedBy>TOX DZUL OMAR</cp:lastModifiedBy>
  <cp:lastPrinted>2025-11-13T13:52:05Z</cp:lastPrinted>
  <dcterms:created xsi:type="dcterms:W3CDTF">2025-11-05T15:59:55Z</dcterms:created>
  <dcterms:modified xsi:type="dcterms:W3CDTF">2025-11-25T17:13:31Z</dcterms:modified>
</cp:coreProperties>
</file>